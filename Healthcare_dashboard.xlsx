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0a2ba8f7a5c1e805/Anam's Projects/Data_Analystics_Project/Healthcare_Patient_Analysis/"/>
    </mc:Choice>
  </mc:AlternateContent>
  <xr:revisionPtr revIDLastSave="8" documentId="14_{898FACD9-D036-4106-B505-646930AAA962}" xr6:coauthVersionLast="47" xr6:coauthVersionMax="47" xr10:uidLastSave="{D0478E33-2706-47FF-A0F3-A353307913DA}"/>
  <bookViews>
    <workbookView xWindow="-108" yWindow="-108" windowWidth="23256" windowHeight="12456" activeTab="1" xr2:uid="{8659531A-C211-4604-B382-42A3497E3005}"/>
  </bookViews>
  <sheets>
    <sheet name="Healthcare_dashboard" sheetId="8" r:id="rId1"/>
    <sheet name="Dashboards" sheetId="5" r:id="rId2"/>
    <sheet name="Pivot_Tables" sheetId="1" r:id="rId3"/>
  </sheets>
  <definedNames>
    <definedName name="ExternalData_3" localSheetId="0" hidden="1">Healthcare_dashboard!$A$1:$Q$301</definedName>
    <definedName name="Slicer_age_grp">#N/A</definedName>
    <definedName name="Slicer_department">#N/A</definedName>
    <definedName name="Slicer_gende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6" i="1" l="1"/>
  <c r="I1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FD7154-774F-49D4-BA01-5DA9016F57F5}" keepAlive="1" name="Query - Healthcare_dashboard" description="Connection to the 'Healthcare_dashboard' query in the workbook." type="5" refreshedVersion="8" background="1" saveData="1">
    <dbPr connection="Provider=Microsoft.Mashup.OleDb.1;Data Source=$Workbook$;Location=Healthcare_dashboard;Extended Properties=&quot;&quot;" command="SELECT * FROM [Healthcare_dashboard]"/>
  </connection>
  <connection id="2" xr16:uid="{47A3A963-CC72-487F-89B1-D7402BCA1CD8}" keepAlive="1" name="Query - healthcare_patient_data" description="Connection to the 'healthcare_patient_data' query in the workbook." type="5" refreshedVersion="8" background="1" saveData="1">
    <dbPr connection="Provider=Microsoft.Mashup.OleDb.1;Data Source=$Workbook$;Location=healthcare_patient_data;Extended Properties=&quot;&quot;" command="SELECT * FROM [healthcare_patient_data]"/>
  </connection>
</connections>
</file>

<file path=xl/sharedStrings.xml><?xml version="1.0" encoding="utf-8"?>
<sst xmlns="http://schemas.openxmlformats.org/spreadsheetml/2006/main" count="1257" uniqueCount="46">
  <si>
    <t>patient_id</t>
  </si>
  <si>
    <t>age</t>
  </si>
  <si>
    <t>gender</t>
  </si>
  <si>
    <t>department</t>
  </si>
  <si>
    <t>admit_date</t>
  </si>
  <si>
    <t>length_of_stay</t>
  </si>
  <si>
    <t>prior_admissions_6mo</t>
  </si>
  <si>
    <t>comorbidity_count</t>
  </si>
  <si>
    <t>blood_glucose</t>
  </si>
  <si>
    <t>blood_pressure</t>
  </si>
  <si>
    <t>med_count</t>
  </si>
  <si>
    <t>readmitted_30d</t>
  </si>
  <si>
    <t>Male</t>
  </si>
  <si>
    <t>General Medicine</t>
  </si>
  <si>
    <t>Female</t>
  </si>
  <si>
    <t>Oncology</t>
  </si>
  <si>
    <t>Orthopedics</t>
  </si>
  <si>
    <t>Neurology</t>
  </si>
  <si>
    <t>Cardiology</t>
  </si>
  <si>
    <t>age_grp</t>
  </si>
  <si>
    <t>risk_score</t>
  </si>
  <si>
    <t>high_BP_flag</t>
  </si>
  <si>
    <t>high_glucose_flag</t>
  </si>
  <si>
    <t>stay_type</t>
  </si>
  <si>
    <t>No</t>
  </si>
  <si>
    <t>Senior</t>
  </si>
  <si>
    <t>Long</t>
  </si>
  <si>
    <t>Adult</t>
  </si>
  <si>
    <t>Yes</t>
  </si>
  <si>
    <t>Medium</t>
  </si>
  <si>
    <t>Young</t>
  </si>
  <si>
    <t xml:space="preserve">Short </t>
  </si>
  <si>
    <t>Middle-Aged</t>
  </si>
  <si>
    <t>Grand Total</t>
  </si>
  <si>
    <t>Column Labels</t>
  </si>
  <si>
    <t>Count of patient_id</t>
  </si>
  <si>
    <t>Departments</t>
  </si>
  <si>
    <t>Age_Grp</t>
  </si>
  <si>
    <t>Gender</t>
  </si>
  <si>
    <t>Count of readmitted_30d</t>
  </si>
  <si>
    <t>Sum of readmitted_30d</t>
  </si>
  <si>
    <t>Average of length_of_stay</t>
  </si>
  <si>
    <t>Average of risk_score</t>
  </si>
  <si>
    <t>Sum of high_BP_flag</t>
  </si>
  <si>
    <t>High Bp %</t>
  </si>
  <si>
    <t>Readmission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</si>
</sst>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5" tint="0.79998168889431442"/>
        <bgColor indexed="64"/>
      </patternFill>
    </fill>
  </fills>
  <borders count="5">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top style="thin">
        <color theme="4" tint="0.39997558519241921"/>
      </top>
      <bottom/>
      <diagonal/>
    </border>
  </borders>
  <cellStyleXfs count="1">
    <xf numFmtId="0" fontId="0" fillId="0" borderId="0"/>
  </cellStyleXfs>
  <cellXfs count="11">
    <xf numFmtId="0" fontId="0" fillId="0" borderId="0" xfId="0"/>
    <xf numFmtId="0" fontId="0" fillId="0" borderId="0" xfId="0" applyNumberFormat="1"/>
    <xf numFmtId="0" fontId="0" fillId="3" borderId="1" xfId="0" applyFont="1" applyFill="1" applyBorder="1"/>
    <xf numFmtId="0" fontId="0" fillId="0" borderId="0" xfId="0" pivotButton="1"/>
    <xf numFmtId="0" fontId="0" fillId="0" borderId="0" xfId="0" applyAlignment="1">
      <alignment horizontal="left"/>
    </xf>
    <xf numFmtId="22" fontId="0" fillId="0" borderId="0" xfId="0" applyNumberFormat="1"/>
    <xf numFmtId="2" fontId="0" fillId="0" borderId="0" xfId="0" applyNumberFormat="1"/>
    <xf numFmtId="0" fontId="1" fillId="2" borderId="3" xfId="0" applyFont="1" applyFill="1" applyBorder="1"/>
    <xf numFmtId="0" fontId="1" fillId="2" borderId="4" xfId="0" applyFont="1" applyFill="1" applyBorder="1"/>
    <xf numFmtId="2" fontId="0" fillId="3" borderId="2" xfId="0" applyNumberFormat="1" applyFont="1" applyFill="1" applyBorder="1"/>
    <xf numFmtId="0" fontId="0" fillId="4" borderId="0" xfId="0" applyFill="1"/>
  </cellXfs>
  <cellStyles count="1">
    <cellStyle name="Normal" xfId="0" builtinId="0"/>
  </cellStyles>
  <dxfs count="7">
    <dxf>
      <numFmt numFmtId="2" formatCode="0.00"/>
    </dxf>
    <dxf>
      <numFmt numFmtId="2" formatCode="0.00"/>
    </dxf>
    <dxf>
      <numFmt numFmtId="0" formatCode="General"/>
    </dxf>
    <dxf>
      <numFmt numFmtId="0" formatCode="General"/>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[Healthcare_dashboard.xlsx]Pivot_Tables!PivotTable8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Readmission vs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Pivot_Tables!$E$1:$E$2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Pivot_Tables!$D$3:$D$8</c:f>
              <c:strCache>
                <c:ptCount val="5"/>
                <c:pt idx="0">
                  <c:v>Cardiology</c:v>
                </c:pt>
                <c:pt idx="1">
                  <c:v>General Medicine</c:v>
                </c:pt>
                <c:pt idx="2">
                  <c:v>Neurology</c:v>
                </c:pt>
                <c:pt idx="3">
                  <c:v>Oncology</c:v>
                </c:pt>
                <c:pt idx="4">
                  <c:v>Orthopedics</c:v>
                </c:pt>
              </c:strCache>
            </c:strRef>
          </c:cat>
          <c:val>
            <c:numRef>
              <c:f>Pivot_Tables!$E$3:$E$8</c:f>
              <c:numCache>
                <c:formatCode>General</c:formatCode>
                <c:ptCount val="5"/>
                <c:pt idx="0">
                  <c:v>44</c:v>
                </c:pt>
                <c:pt idx="1">
                  <c:v>42</c:v>
                </c:pt>
                <c:pt idx="2">
                  <c:v>34</c:v>
                </c:pt>
                <c:pt idx="3">
                  <c:v>45</c:v>
                </c:pt>
                <c:pt idx="4">
                  <c:v>36</c:v>
                </c:pt>
              </c:numCache>
            </c:numRef>
          </c:val>
          <c:extLst>
            <c:ext xmlns:c16="http://schemas.microsoft.com/office/drawing/2014/chart" uri="{C3380CC4-5D6E-409C-BE32-E72D297353CC}">
              <c16:uniqueId val="{00000000-06BA-445F-BFF3-6A49677AD6A2}"/>
            </c:ext>
          </c:extLst>
        </c:ser>
        <c:ser>
          <c:idx val="1"/>
          <c:order val="1"/>
          <c:tx>
            <c:strRef>
              <c:f>Pivot_Tables!$F$1:$F$2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Pivot_Tables!$D$3:$D$8</c:f>
              <c:strCache>
                <c:ptCount val="5"/>
                <c:pt idx="0">
                  <c:v>Cardiology</c:v>
                </c:pt>
                <c:pt idx="1">
                  <c:v>General Medicine</c:v>
                </c:pt>
                <c:pt idx="2">
                  <c:v>Neurology</c:v>
                </c:pt>
                <c:pt idx="3">
                  <c:v>Oncology</c:v>
                </c:pt>
                <c:pt idx="4">
                  <c:v>Orthopedics</c:v>
                </c:pt>
              </c:strCache>
            </c:strRef>
          </c:cat>
          <c:val>
            <c:numRef>
              <c:f>Pivot_Tables!$F$3:$F$8</c:f>
              <c:numCache>
                <c:formatCode>General</c:formatCode>
                <c:ptCount val="5"/>
                <c:pt idx="0">
                  <c:v>19</c:v>
                </c:pt>
                <c:pt idx="1">
                  <c:v>21</c:v>
                </c:pt>
                <c:pt idx="2">
                  <c:v>18</c:v>
                </c:pt>
                <c:pt idx="3">
                  <c:v>22</c:v>
                </c:pt>
                <c:pt idx="4">
                  <c:v>19</c:v>
                </c:pt>
              </c:numCache>
            </c:numRef>
          </c:val>
          <c:extLst>
            <c:ext xmlns:c16="http://schemas.microsoft.com/office/drawing/2014/chart" uri="{C3380CC4-5D6E-409C-BE32-E72D297353CC}">
              <c16:uniqueId val="{00000001-06BA-445F-BFF3-6A49677AD6A2}"/>
            </c:ext>
          </c:extLst>
        </c:ser>
        <c:dLbls>
          <c:dLblPos val="ctr"/>
          <c:showLegendKey val="0"/>
          <c:showVal val="1"/>
          <c:showCatName val="0"/>
          <c:showSerName val="0"/>
          <c:showPercent val="0"/>
          <c:showBubbleSize val="0"/>
        </c:dLbls>
        <c:gapWidth val="150"/>
        <c:overlap val="100"/>
        <c:axId val="1920822511"/>
        <c:axId val="1920809551"/>
      </c:barChart>
      <c:catAx>
        <c:axId val="192082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809551"/>
        <c:crosses val="autoZero"/>
        <c:auto val="1"/>
        <c:lblAlgn val="ctr"/>
        <c:lblOffset val="100"/>
        <c:noMultiLvlLbl val="0"/>
      </c:catAx>
      <c:valAx>
        <c:axId val="192080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82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[Healthcare_dashboard.xlsx]Pivot_Tables!PivotTable10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Group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Pivot_Tables!$M$1</c:f>
              <c:strCache>
                <c:ptCount val="1"/>
                <c:pt idx="0">
                  <c:v>Total</c:v>
                </c:pt>
              </c:strCache>
            </c:strRef>
          </c:tx>
          <c:spPr>
            <a:solidFill>
              <a:schemeClr val="accent1"/>
            </a:solidFill>
            <a:ln>
              <a:noFill/>
            </a:ln>
            <a:effectLst/>
          </c:spPr>
          <c:invertIfNegative val="0"/>
          <c:cat>
            <c:strRef>
              <c:f>Pivot_Tables!$L$2:$L$4</c:f>
              <c:strCache>
                <c:ptCount val="2"/>
                <c:pt idx="0">
                  <c:v>Female</c:v>
                </c:pt>
                <c:pt idx="1">
                  <c:v>Male</c:v>
                </c:pt>
              </c:strCache>
            </c:strRef>
          </c:cat>
          <c:val>
            <c:numRef>
              <c:f>Pivot_Tables!$M$2:$M$4</c:f>
              <c:numCache>
                <c:formatCode>General</c:formatCode>
                <c:ptCount val="2"/>
                <c:pt idx="0">
                  <c:v>153</c:v>
                </c:pt>
                <c:pt idx="1">
                  <c:v>147</c:v>
                </c:pt>
              </c:numCache>
            </c:numRef>
          </c:val>
          <c:extLst>
            <c:ext xmlns:c16="http://schemas.microsoft.com/office/drawing/2014/chart" uri="{C3380CC4-5D6E-409C-BE32-E72D297353CC}">
              <c16:uniqueId val="{00000000-AF4C-4B04-AD6E-7B188F392C05}"/>
            </c:ext>
          </c:extLst>
        </c:ser>
        <c:dLbls>
          <c:showLegendKey val="0"/>
          <c:showVal val="0"/>
          <c:showCatName val="0"/>
          <c:showSerName val="0"/>
          <c:showPercent val="0"/>
          <c:showBubbleSize val="0"/>
        </c:dLbls>
        <c:gapWidth val="219"/>
        <c:overlap val="-27"/>
        <c:axId val="2100613103"/>
        <c:axId val="2100616943"/>
      </c:barChart>
      <c:catAx>
        <c:axId val="210061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616943"/>
        <c:crosses val="autoZero"/>
        <c:auto val="1"/>
        <c:lblAlgn val="ctr"/>
        <c:lblOffset val="100"/>
        <c:noMultiLvlLbl val="0"/>
      </c:catAx>
      <c:valAx>
        <c:axId val="210061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613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[Healthcare_dashboard.xlsx]Pivot_Tables!PivotTable7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Patients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c:f>
              <c:strCache>
                <c:ptCount val="1"/>
                <c:pt idx="0">
                  <c:v>Total</c:v>
                </c:pt>
              </c:strCache>
            </c:strRef>
          </c:tx>
          <c:spPr>
            <a:solidFill>
              <a:schemeClr val="accent1"/>
            </a:solidFill>
            <a:ln>
              <a:noFill/>
            </a:ln>
            <a:effectLst/>
          </c:spPr>
          <c:invertIfNegative val="0"/>
          <c:cat>
            <c:strRef>
              <c:f>Pivot_Tables!$A$2:$A$7</c:f>
              <c:strCache>
                <c:ptCount val="5"/>
                <c:pt idx="0">
                  <c:v>Cardiology</c:v>
                </c:pt>
                <c:pt idx="1">
                  <c:v>General Medicine</c:v>
                </c:pt>
                <c:pt idx="2">
                  <c:v>Neurology</c:v>
                </c:pt>
                <c:pt idx="3">
                  <c:v>Oncology</c:v>
                </c:pt>
                <c:pt idx="4">
                  <c:v>Orthopedics</c:v>
                </c:pt>
              </c:strCache>
            </c:strRef>
          </c:cat>
          <c:val>
            <c:numRef>
              <c:f>Pivot_Tables!$B$2:$B$7</c:f>
              <c:numCache>
                <c:formatCode>General</c:formatCode>
                <c:ptCount val="5"/>
                <c:pt idx="0">
                  <c:v>63</c:v>
                </c:pt>
                <c:pt idx="1">
                  <c:v>63</c:v>
                </c:pt>
                <c:pt idx="2">
                  <c:v>52</c:v>
                </c:pt>
                <c:pt idx="3">
                  <c:v>67</c:v>
                </c:pt>
                <c:pt idx="4">
                  <c:v>55</c:v>
                </c:pt>
              </c:numCache>
            </c:numRef>
          </c:val>
          <c:extLst>
            <c:ext xmlns:c16="http://schemas.microsoft.com/office/drawing/2014/chart" uri="{C3380CC4-5D6E-409C-BE32-E72D297353CC}">
              <c16:uniqueId val="{00000000-D409-46BD-BA32-F39A82B34214}"/>
            </c:ext>
          </c:extLst>
        </c:ser>
        <c:dLbls>
          <c:showLegendKey val="0"/>
          <c:showVal val="0"/>
          <c:showCatName val="0"/>
          <c:showSerName val="0"/>
          <c:showPercent val="0"/>
          <c:showBubbleSize val="0"/>
        </c:dLbls>
        <c:gapWidth val="182"/>
        <c:axId val="342689328"/>
        <c:axId val="342673008"/>
      </c:barChart>
      <c:catAx>
        <c:axId val="34268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73008"/>
        <c:crosses val="autoZero"/>
        <c:auto val="1"/>
        <c:lblAlgn val="ctr"/>
        <c:lblOffset val="100"/>
        <c:noMultiLvlLbl val="0"/>
      </c:catAx>
      <c:valAx>
        <c:axId val="342673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89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[Healthcare_dashboard.xlsx]Pivot_Tables!PivotTable9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Gender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Pivot_Tables!$J$1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25-4F59-8DF1-C6627B1DDB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25-4F59-8DF1-C6627B1DDB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25-4F59-8DF1-C6627B1DDB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25-4F59-8DF1-C6627B1DDB0E}"/>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Pivot_Tables!$I$2:$I$6</c:f>
              <c:strCache>
                <c:ptCount val="4"/>
                <c:pt idx="0">
                  <c:v>Adult</c:v>
                </c:pt>
                <c:pt idx="1">
                  <c:v>Middle-Aged</c:v>
                </c:pt>
                <c:pt idx="2">
                  <c:v>Senior</c:v>
                </c:pt>
                <c:pt idx="3">
                  <c:v>Young</c:v>
                </c:pt>
              </c:strCache>
            </c:strRef>
          </c:cat>
          <c:val>
            <c:numRef>
              <c:f>Pivot_Tables!$J$2:$J$6</c:f>
              <c:numCache>
                <c:formatCode>General</c:formatCode>
                <c:ptCount val="4"/>
                <c:pt idx="0">
                  <c:v>61</c:v>
                </c:pt>
                <c:pt idx="1">
                  <c:v>64</c:v>
                </c:pt>
                <c:pt idx="2">
                  <c:v>126</c:v>
                </c:pt>
                <c:pt idx="3">
                  <c:v>49</c:v>
                </c:pt>
              </c:numCache>
            </c:numRef>
          </c:val>
          <c:extLst>
            <c:ext xmlns:c16="http://schemas.microsoft.com/office/drawing/2014/chart" uri="{C3380CC4-5D6E-409C-BE32-E72D297353CC}">
              <c16:uniqueId val="{00000008-3C25-4F59-8DF1-C6627B1DDB0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577278</xdr:colOff>
      <xdr:row>15</xdr:row>
      <xdr:rowOff>7576</xdr:rowOff>
    </xdr:from>
    <xdr:to>
      <xdr:col>18</xdr:col>
      <xdr:colOff>272478</xdr:colOff>
      <xdr:row>30</xdr:row>
      <xdr:rowOff>7576</xdr:rowOff>
    </xdr:to>
    <xdr:graphicFrame macro="">
      <xdr:nvGraphicFramePr>
        <xdr:cNvPr id="3" name="Chart 2">
          <a:extLst>
            <a:ext uri="{FF2B5EF4-FFF2-40B4-BE49-F238E27FC236}">
              <a16:creationId xmlns:a16="http://schemas.microsoft.com/office/drawing/2014/main" id="{9057B62C-38E9-43D4-904D-0B687D0A7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577278</xdr:colOff>
      <xdr:row>32</xdr:row>
      <xdr:rowOff>7578</xdr:rowOff>
    </xdr:from>
    <xdr:to>
      <xdr:col>10</xdr:col>
      <xdr:colOff>242846</xdr:colOff>
      <xdr:row>47</xdr:row>
      <xdr:rowOff>50511</xdr:rowOff>
    </xdr:to>
    <xdr:graphicFrame macro="">
      <xdr:nvGraphicFramePr>
        <xdr:cNvPr id="5" name="Chart 4">
          <a:extLst>
            <a:ext uri="{FF2B5EF4-FFF2-40B4-BE49-F238E27FC236}">
              <a16:creationId xmlns:a16="http://schemas.microsoft.com/office/drawing/2014/main" id="{216BCE3F-A841-43E2-A072-2BBBD32B8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577278</xdr:colOff>
      <xdr:row>15</xdr:row>
      <xdr:rowOff>7576</xdr:rowOff>
    </xdr:from>
    <xdr:to>
      <xdr:col>10</xdr:col>
      <xdr:colOff>242846</xdr:colOff>
      <xdr:row>30</xdr:row>
      <xdr:rowOff>50510</xdr:rowOff>
    </xdr:to>
    <xdr:graphicFrame macro="">
      <xdr:nvGraphicFramePr>
        <xdr:cNvPr id="6" name="Chart 5">
          <a:extLst>
            <a:ext uri="{FF2B5EF4-FFF2-40B4-BE49-F238E27FC236}">
              <a16:creationId xmlns:a16="http://schemas.microsoft.com/office/drawing/2014/main" id="{05A87056-A8DC-4530-895C-5E4EAD02A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577278</xdr:colOff>
      <xdr:row>32</xdr:row>
      <xdr:rowOff>7578</xdr:rowOff>
    </xdr:from>
    <xdr:to>
      <xdr:col>18</xdr:col>
      <xdr:colOff>242845</xdr:colOff>
      <xdr:row>47</xdr:row>
      <xdr:rowOff>50511</xdr:rowOff>
    </xdr:to>
    <xdr:graphicFrame macro="">
      <xdr:nvGraphicFramePr>
        <xdr:cNvPr id="7" name="Chart 6">
          <a:extLst>
            <a:ext uri="{FF2B5EF4-FFF2-40B4-BE49-F238E27FC236}">
              <a16:creationId xmlns:a16="http://schemas.microsoft.com/office/drawing/2014/main" id="{30469562-6A50-4F05-9371-AED6AF3F1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218258</xdr:colOff>
      <xdr:row>27</xdr:row>
      <xdr:rowOff>144217</xdr:rowOff>
    </xdr:from>
    <xdr:to>
      <xdr:col>22</xdr:col>
      <xdr:colOff>343436</xdr:colOff>
      <xdr:row>36</xdr:row>
      <xdr:rowOff>53660</xdr:rowOff>
    </xdr:to>
    <mc:AlternateContent xmlns:mc="http://schemas.openxmlformats.org/markup-compatibility/2006">
      <mc:Choice xmlns:a14="http://schemas.microsoft.com/office/drawing/2010/main" Requires="a14">
        <xdr:graphicFrame macro="">
          <xdr:nvGraphicFramePr>
            <xdr:cNvPr id="12" name="age_grp">
              <a:extLst>
                <a:ext uri="{FF2B5EF4-FFF2-40B4-BE49-F238E27FC236}">
                  <a16:creationId xmlns:a16="http://schemas.microsoft.com/office/drawing/2014/main" id="{CBAAD9A1-756C-42AA-8F86-1F668DF5CB72}"/>
                </a:ext>
              </a:extLst>
            </xdr:cNvPr>
            <xdr:cNvGraphicFramePr/>
          </xdr:nvGraphicFramePr>
          <xdr:xfrm>
            <a:off x="0" y="0"/>
            <a:ext cx="0" cy="0"/>
          </xdr:xfrm>
          <a:graphic>
            <a:graphicData uri="http://schemas.microsoft.com/office/drawing/2010/slicer">
              <sle:slicer xmlns:sle="http://schemas.microsoft.com/office/drawing/2010/slicer" name="age_grp"/>
            </a:graphicData>
          </a:graphic>
        </xdr:graphicFrame>
      </mc:Choice>
      <mc:Fallback>
        <xdr:sp macro="" textlink="">
          <xdr:nvSpPr>
            <xdr:cNvPr id="0" name=""/>
            <xdr:cNvSpPr>
              <a:spLocks noTextEdit="1"/>
            </xdr:cNvSpPr>
          </xdr:nvSpPr>
          <xdr:spPr>
            <a:xfrm>
              <a:off x="11841441" y="5070386"/>
              <a:ext cx="1960418" cy="1551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250453</xdr:colOff>
      <xdr:row>37</xdr:row>
      <xdr:rowOff>155085</xdr:rowOff>
    </xdr:from>
    <xdr:to>
      <xdr:col>22</xdr:col>
      <xdr:colOff>375632</xdr:colOff>
      <xdr:row>43</xdr:row>
      <xdr:rowOff>75126</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CD3DCA88-7076-43ED-AD80-A12CE485F2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733006" y="6960534"/>
              <a:ext cx="1778060" cy="991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230915</xdr:colOff>
      <xdr:row>15</xdr:row>
      <xdr:rowOff>85860</xdr:rowOff>
    </xdr:from>
    <xdr:to>
      <xdr:col>22</xdr:col>
      <xdr:colOff>311238</xdr:colOff>
      <xdr:row>26</xdr:row>
      <xdr:rowOff>42930</xdr:rowOff>
    </xdr:to>
    <mc:AlternateContent xmlns:mc="http://schemas.openxmlformats.org/markup-compatibility/2006" xmlns:a14="http://schemas.microsoft.com/office/drawing/2010/main">
      <mc:Choice Requires="a14">
        <xdr:graphicFrame macro="">
          <xdr:nvGraphicFramePr>
            <xdr:cNvPr id="14" name="department">
              <a:extLst>
                <a:ext uri="{FF2B5EF4-FFF2-40B4-BE49-F238E27FC236}">
                  <a16:creationId xmlns:a16="http://schemas.microsoft.com/office/drawing/2014/main" id="{9CBCAD6F-B413-402B-9312-D1518BC365A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713468" y="3174454"/>
              <a:ext cx="1817136" cy="1796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175658</xdr:colOff>
      <xdr:row>7</xdr:row>
      <xdr:rowOff>150165</xdr:rowOff>
    </xdr:from>
    <xdr:to>
      <xdr:col>5</xdr:col>
      <xdr:colOff>182692</xdr:colOff>
      <xdr:row>12</xdr:row>
      <xdr:rowOff>170094</xdr:rowOff>
    </xdr:to>
    <xdr:sp macro="" textlink="">
      <xdr:nvSpPr>
        <xdr:cNvPr id="15" name="Rectangle: Rounded Corners 14">
          <a:extLst>
            <a:ext uri="{FF2B5EF4-FFF2-40B4-BE49-F238E27FC236}">
              <a16:creationId xmlns:a16="http://schemas.microsoft.com/office/drawing/2014/main" id="{9EDD2D2B-C4D9-437D-8E1C-F6A66F7C1526}"/>
            </a:ext>
          </a:extLst>
        </xdr:cNvPr>
        <xdr:cNvSpPr/>
      </xdr:nvSpPr>
      <xdr:spPr>
        <a:xfrm>
          <a:off x="782877" y="1400321"/>
          <a:ext cx="2435909" cy="912898"/>
        </a:xfrm>
        <a:prstGeom prst="roundRect">
          <a:avLst/>
        </a:prstGeom>
        <a:solidFill>
          <a:schemeClr val="tx2">
            <a:lumMod val="50000"/>
            <a:lumOff val="50000"/>
          </a:schemeClr>
        </a:solidFill>
        <a:ln w="25400">
          <a:solidFill>
            <a:schemeClr val="accent1">
              <a:lumMod val="50000"/>
            </a:schemeClr>
          </a:solidFill>
        </a:ln>
        <a:effectLst>
          <a:outerShdw blurRad="50800" dist="38100" dir="2700000" algn="tl" rotWithShape="0">
            <a:schemeClr val="tx2">
              <a:lumMod val="75000"/>
              <a:lumOff val="2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accent1">
                  <a:lumMod val="50000"/>
                </a:schemeClr>
              </a:solidFill>
            </a:rPr>
            <a:t>TOTAL PATIENTS</a:t>
          </a:r>
        </a:p>
        <a:p>
          <a:pPr algn="ctr"/>
          <a:r>
            <a:rPr lang="en-US" sz="2000">
              <a:solidFill>
                <a:schemeClr val="accent1">
                  <a:lumMod val="50000"/>
                </a:schemeClr>
              </a:solidFill>
            </a:rPr>
            <a:t>300</a:t>
          </a:r>
        </a:p>
      </xdr:txBody>
    </xdr:sp>
    <xdr:clientData/>
  </xdr:twoCellAnchor>
  <xdr:twoCellAnchor>
    <xdr:from>
      <xdr:col>5</xdr:col>
      <xdr:colOff>360081</xdr:colOff>
      <xdr:row>7</xdr:row>
      <xdr:rowOff>135547</xdr:rowOff>
    </xdr:from>
    <xdr:to>
      <xdr:col>9</xdr:col>
      <xdr:colOff>367115</xdr:colOff>
      <xdr:row>12</xdr:row>
      <xdr:rowOff>155476</xdr:rowOff>
    </xdr:to>
    <xdr:sp macro="" textlink="">
      <xdr:nvSpPr>
        <xdr:cNvPr id="17" name="Rectangle: Rounded Corners 16">
          <a:extLst>
            <a:ext uri="{FF2B5EF4-FFF2-40B4-BE49-F238E27FC236}">
              <a16:creationId xmlns:a16="http://schemas.microsoft.com/office/drawing/2014/main" id="{047354CF-7823-427D-BA60-17B0406AFEA1}"/>
            </a:ext>
          </a:extLst>
        </xdr:cNvPr>
        <xdr:cNvSpPr/>
      </xdr:nvSpPr>
      <xdr:spPr>
        <a:xfrm>
          <a:off x="3396175" y="1385703"/>
          <a:ext cx="2435909" cy="912898"/>
        </a:xfrm>
        <a:prstGeom prst="roundRect">
          <a:avLst/>
        </a:prstGeom>
        <a:solidFill>
          <a:schemeClr val="tx2">
            <a:lumMod val="50000"/>
            <a:lumOff val="50000"/>
          </a:schemeClr>
        </a:solidFill>
        <a:ln w="25400">
          <a:solidFill>
            <a:schemeClr val="accent1">
              <a:lumMod val="50000"/>
            </a:schemeClr>
          </a:solidFill>
        </a:ln>
        <a:effectLst>
          <a:outerShdw blurRad="50800" dist="38100" dir="2700000" algn="tl" rotWithShape="0">
            <a:schemeClr val="tx2">
              <a:lumMod val="75000"/>
              <a:lumOff val="2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accent1">
                  <a:lumMod val="50000"/>
                </a:schemeClr>
              </a:solidFill>
              <a:latin typeface="Aptos Narrow"/>
            </a:rPr>
            <a:t>Avg Length of Stay</a:t>
          </a:r>
        </a:p>
        <a:p>
          <a:pPr algn="ctr"/>
          <a:r>
            <a:rPr lang="en-US" sz="2000" b="0" i="0" u="none" strike="noStrike">
              <a:solidFill>
                <a:schemeClr val="accent1">
                  <a:lumMod val="50000"/>
                </a:schemeClr>
              </a:solidFill>
              <a:latin typeface="Aptos Narrow"/>
            </a:rPr>
            <a:t>7.43</a:t>
          </a:r>
        </a:p>
      </xdr:txBody>
    </xdr:sp>
    <xdr:clientData/>
  </xdr:twoCellAnchor>
  <xdr:twoCellAnchor>
    <xdr:from>
      <xdr:col>14</xdr:col>
      <xdr:colOff>150860</xdr:colOff>
      <xdr:row>7</xdr:row>
      <xdr:rowOff>110343</xdr:rowOff>
    </xdr:from>
    <xdr:to>
      <xdr:col>18</xdr:col>
      <xdr:colOff>157894</xdr:colOff>
      <xdr:row>12</xdr:row>
      <xdr:rowOff>130272</xdr:rowOff>
    </xdr:to>
    <xdr:sp macro="" textlink="Pivot_Tables!I12">
      <xdr:nvSpPr>
        <xdr:cNvPr id="18" name="Rectangle: Rounded Corners 17">
          <a:extLst>
            <a:ext uri="{FF2B5EF4-FFF2-40B4-BE49-F238E27FC236}">
              <a16:creationId xmlns:a16="http://schemas.microsoft.com/office/drawing/2014/main" id="{AC944E37-9CBB-424E-91A2-D7CA5BADDCFD}"/>
            </a:ext>
          </a:extLst>
        </xdr:cNvPr>
        <xdr:cNvSpPr/>
      </xdr:nvSpPr>
      <xdr:spPr>
        <a:xfrm>
          <a:off x="8651923" y="1360499"/>
          <a:ext cx="2435909" cy="912898"/>
        </a:xfrm>
        <a:prstGeom prst="roundRect">
          <a:avLst/>
        </a:prstGeom>
        <a:solidFill>
          <a:schemeClr val="tx2">
            <a:lumMod val="50000"/>
            <a:lumOff val="50000"/>
          </a:schemeClr>
        </a:solidFill>
        <a:ln w="25400">
          <a:solidFill>
            <a:schemeClr val="accent1">
              <a:lumMod val="50000"/>
            </a:schemeClr>
          </a:solidFill>
        </a:ln>
        <a:effectLst>
          <a:outerShdw blurRad="50800" dist="38100" dir="2700000" algn="tl" rotWithShape="0">
            <a:schemeClr val="tx2">
              <a:lumMod val="75000"/>
              <a:lumOff val="2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accent1">
                  <a:lumMod val="50000"/>
                </a:schemeClr>
              </a:solidFill>
              <a:latin typeface="Aptos Narrow"/>
            </a:rPr>
            <a:t>Avg Risk Score</a:t>
          </a:r>
        </a:p>
        <a:p>
          <a:pPr algn="ctr"/>
          <a:fld id="{D3F12E98-ADFD-4B6F-A5B1-69BEB013B307}" type="TxLink">
            <a:rPr lang="en-US" sz="2000" b="0" i="0" u="none" strike="noStrike">
              <a:solidFill>
                <a:schemeClr val="accent1">
                  <a:lumMod val="50000"/>
                </a:schemeClr>
              </a:solidFill>
              <a:latin typeface="Aptos Narrow"/>
            </a:rPr>
            <a:pPr algn="ctr"/>
            <a:t>4.41</a:t>
          </a:fld>
          <a:endParaRPr lang="en-IN" sz="2000">
            <a:solidFill>
              <a:schemeClr val="accent1">
                <a:lumMod val="50000"/>
              </a:schemeClr>
            </a:solidFill>
          </a:endParaRPr>
        </a:p>
      </xdr:txBody>
    </xdr:sp>
    <xdr:clientData/>
  </xdr:twoCellAnchor>
  <xdr:twoCellAnchor>
    <xdr:from>
      <xdr:col>9</xdr:col>
      <xdr:colOff>580072</xdr:colOff>
      <xdr:row>7</xdr:row>
      <xdr:rowOff>138294</xdr:rowOff>
    </xdr:from>
    <xdr:to>
      <xdr:col>13</xdr:col>
      <xdr:colOff>587106</xdr:colOff>
      <xdr:row>12</xdr:row>
      <xdr:rowOff>158223</xdr:rowOff>
    </xdr:to>
    <xdr:sp macro="" textlink="Pivot_Tables!H16">
      <xdr:nvSpPr>
        <xdr:cNvPr id="19" name="Rectangle: Rounded Corners 18">
          <a:extLst>
            <a:ext uri="{FF2B5EF4-FFF2-40B4-BE49-F238E27FC236}">
              <a16:creationId xmlns:a16="http://schemas.microsoft.com/office/drawing/2014/main" id="{C98A5257-3A22-4E99-BA22-E9B30A14BD96}"/>
            </a:ext>
          </a:extLst>
        </xdr:cNvPr>
        <xdr:cNvSpPr/>
      </xdr:nvSpPr>
      <xdr:spPr>
        <a:xfrm>
          <a:off x="6045041" y="1388450"/>
          <a:ext cx="2435909" cy="912898"/>
        </a:xfrm>
        <a:prstGeom prst="roundRect">
          <a:avLst/>
        </a:prstGeom>
        <a:solidFill>
          <a:schemeClr val="tx2">
            <a:lumMod val="50000"/>
            <a:lumOff val="50000"/>
          </a:schemeClr>
        </a:solidFill>
        <a:ln w="25400">
          <a:solidFill>
            <a:schemeClr val="accent1">
              <a:lumMod val="50000"/>
            </a:schemeClr>
          </a:solidFill>
        </a:ln>
        <a:effectLst>
          <a:outerShdw blurRad="50800" dist="38100" dir="2700000" algn="tl" rotWithShape="0">
            <a:schemeClr val="tx2">
              <a:lumMod val="75000"/>
              <a:lumOff val="2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2">
                  <a:lumMod val="25000"/>
                </a:schemeClr>
              </a:solidFill>
              <a:latin typeface="Aptos Narrow"/>
            </a:rPr>
            <a:t>High_Bp % </a:t>
          </a:r>
        </a:p>
        <a:p>
          <a:pPr algn="ctr"/>
          <a:fld id="{230DEF2F-EDB8-45FE-9FD3-B1EAE523B70F}" type="TxLink">
            <a:rPr lang="en-US" sz="2000" b="0" i="0" u="none" strike="noStrike">
              <a:solidFill>
                <a:schemeClr val="bg2">
                  <a:lumMod val="25000"/>
                </a:schemeClr>
              </a:solidFill>
              <a:latin typeface="Aptos Narrow"/>
            </a:rPr>
            <a:t>41.33</a:t>
          </a:fld>
          <a:r>
            <a:rPr lang="en-US" sz="2000" b="0" i="0" u="none" strike="noStrike">
              <a:solidFill>
                <a:schemeClr val="bg2">
                  <a:lumMod val="25000"/>
                </a:schemeClr>
              </a:solidFill>
              <a:latin typeface="Aptos Narrow"/>
            </a:rPr>
            <a:t> %</a:t>
          </a:r>
          <a:endParaRPr lang="en-IN" sz="2000" b="0" i="0" u="none" strike="noStrike">
            <a:solidFill>
              <a:schemeClr val="bg2">
                <a:lumMod val="25000"/>
              </a:schemeClr>
            </a:solidFill>
            <a:latin typeface="Aptos Narrow"/>
          </a:endParaRPr>
        </a:p>
      </xdr:txBody>
    </xdr:sp>
    <xdr:clientData/>
  </xdr:twoCellAnchor>
  <xdr:twoCellAnchor>
    <xdr:from>
      <xdr:col>18</xdr:col>
      <xdr:colOff>357917</xdr:colOff>
      <xdr:row>7</xdr:row>
      <xdr:rowOff>102053</xdr:rowOff>
    </xdr:from>
    <xdr:to>
      <xdr:col>22</xdr:col>
      <xdr:colOff>364950</xdr:colOff>
      <xdr:row>12</xdr:row>
      <xdr:rowOff>121982</xdr:rowOff>
    </xdr:to>
    <xdr:sp macro="" textlink="Pivot_Tables!I16">
      <xdr:nvSpPr>
        <xdr:cNvPr id="20" name="Rectangle: Rounded Corners 19">
          <a:extLst>
            <a:ext uri="{FF2B5EF4-FFF2-40B4-BE49-F238E27FC236}">
              <a16:creationId xmlns:a16="http://schemas.microsoft.com/office/drawing/2014/main" id="{B1C7B060-8D0B-4AF0-A5D3-B96E25A10455}"/>
            </a:ext>
          </a:extLst>
        </xdr:cNvPr>
        <xdr:cNvSpPr/>
      </xdr:nvSpPr>
      <xdr:spPr>
        <a:xfrm>
          <a:off x="11287855" y="1352209"/>
          <a:ext cx="2435908" cy="912898"/>
        </a:xfrm>
        <a:prstGeom prst="roundRect">
          <a:avLst/>
        </a:prstGeom>
        <a:solidFill>
          <a:schemeClr val="tx2">
            <a:lumMod val="50000"/>
            <a:lumOff val="50000"/>
          </a:schemeClr>
        </a:solidFill>
        <a:ln w="25400">
          <a:solidFill>
            <a:schemeClr val="accent1">
              <a:lumMod val="50000"/>
            </a:schemeClr>
          </a:solidFill>
        </a:ln>
        <a:effectLst>
          <a:outerShdw blurRad="50800" dist="38100" dir="2700000" algn="tl" rotWithShape="0">
            <a:schemeClr val="tx2">
              <a:lumMod val="75000"/>
              <a:lumOff val="2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2">
                  <a:lumMod val="25000"/>
                </a:schemeClr>
              </a:solidFill>
              <a:latin typeface="Aptos Narrow"/>
            </a:rPr>
            <a:t>Readmission</a:t>
          </a:r>
          <a:r>
            <a:rPr lang="en-US" sz="2000" b="0" i="0" u="none" strike="noStrike" baseline="0">
              <a:solidFill>
                <a:schemeClr val="bg2">
                  <a:lumMod val="25000"/>
                </a:schemeClr>
              </a:solidFill>
              <a:latin typeface="Aptos Narrow"/>
            </a:rPr>
            <a:t> Rate</a:t>
          </a:r>
        </a:p>
        <a:p>
          <a:pPr algn="ctr"/>
          <a:fld id="{9DC622F3-940E-4DE6-BE89-F2DF06E97B90}" type="TxLink">
            <a:rPr lang="en-US" sz="2000" b="0" i="0" u="none" strike="noStrike">
              <a:solidFill>
                <a:schemeClr val="bg2">
                  <a:lumMod val="25000"/>
                </a:schemeClr>
              </a:solidFill>
              <a:latin typeface="Aptos Narrow"/>
            </a:rPr>
            <a:t>33</a:t>
          </a:fld>
          <a:r>
            <a:rPr lang="en-US" sz="2000" b="0" i="0" u="none" strike="noStrike">
              <a:solidFill>
                <a:schemeClr val="bg2">
                  <a:lumMod val="25000"/>
                </a:schemeClr>
              </a:solidFill>
              <a:latin typeface="Aptos Narrow"/>
            </a:rPr>
            <a:t> %</a:t>
          </a:r>
        </a:p>
      </xdr:txBody>
    </xdr:sp>
    <xdr:clientData/>
  </xdr:twoCellAnchor>
  <xdr:twoCellAnchor editAs="oneCell">
    <xdr:from>
      <xdr:col>3</xdr:col>
      <xdr:colOff>382400</xdr:colOff>
      <xdr:row>10</xdr:row>
      <xdr:rowOff>49727</xdr:rowOff>
    </xdr:from>
    <xdr:to>
      <xdr:col>4</xdr:col>
      <xdr:colOff>100153</xdr:colOff>
      <xdr:row>12</xdr:row>
      <xdr:rowOff>16111</xdr:rowOff>
    </xdr:to>
    <xdr:pic>
      <xdr:nvPicPr>
        <xdr:cNvPr id="22" name="Graphic 21" descr="User with solid fill">
          <a:extLst>
            <a:ext uri="{FF2B5EF4-FFF2-40B4-BE49-F238E27FC236}">
              <a16:creationId xmlns:a16="http://schemas.microsoft.com/office/drawing/2014/main" id="{C3D53D4E-4470-623A-8DFB-C8D8D0F988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04056" y="1835665"/>
          <a:ext cx="324972" cy="323571"/>
        </a:xfrm>
        <a:prstGeom prst="rect">
          <a:avLst/>
        </a:prstGeom>
      </xdr:spPr>
    </xdr:pic>
    <xdr:clientData/>
  </xdr:twoCellAnchor>
  <xdr:twoCellAnchor>
    <xdr:from>
      <xdr:col>1</xdr:col>
      <xdr:colOff>95250</xdr:colOff>
      <xdr:row>0</xdr:row>
      <xdr:rowOff>95249</xdr:rowOff>
    </xdr:from>
    <xdr:to>
      <xdr:col>22</xdr:col>
      <xdr:colOff>452438</xdr:colOff>
      <xdr:row>7</xdr:row>
      <xdr:rowOff>0</xdr:rowOff>
    </xdr:to>
    <xdr:sp macro="" textlink="">
      <xdr:nvSpPr>
        <xdr:cNvPr id="2" name="Rectangle: Rounded Corners 1">
          <a:extLst>
            <a:ext uri="{FF2B5EF4-FFF2-40B4-BE49-F238E27FC236}">
              <a16:creationId xmlns:a16="http://schemas.microsoft.com/office/drawing/2014/main" id="{519F564E-FEC6-9D50-A900-933BDEA77A76}"/>
            </a:ext>
          </a:extLst>
        </xdr:cNvPr>
        <xdr:cNvSpPr/>
      </xdr:nvSpPr>
      <xdr:spPr>
        <a:xfrm>
          <a:off x="702469" y="95249"/>
          <a:ext cx="13108782" cy="1154907"/>
        </a:xfrm>
        <a:prstGeom prst="roundRect">
          <a:avLst/>
        </a:prstGeom>
        <a:solidFill>
          <a:schemeClr val="tx2">
            <a:lumMod val="40000"/>
            <a:lumOff val="60000"/>
          </a:schemeClr>
        </a:solidFill>
        <a:ln w="25400">
          <a:solidFill>
            <a:schemeClr val="bg2">
              <a:lumMod val="25000"/>
            </a:schemeClr>
          </a:solid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6000" b="1" i="0" u="none" strike="noStrike">
              <a:solidFill>
                <a:schemeClr val="accent1">
                  <a:lumMod val="75000"/>
                </a:schemeClr>
              </a:solidFill>
              <a:effectLst/>
              <a:latin typeface="+mn-lt"/>
              <a:ea typeface="+mn-ea"/>
              <a:cs typeface="+mn-cs"/>
            </a:rPr>
            <a:t>📊 Healthcare Patient Analysis</a:t>
          </a:r>
          <a:endParaRPr lang="en-IN" sz="6000" i="0">
            <a:solidFill>
              <a:schemeClr val="accent1">
                <a:lumMod val="7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9.04914560185" createdVersion="8" refreshedVersion="8" minRefreshableVersion="3" recordCount="300" xr:uid="{3CE5125D-CC49-4B8D-B827-CB8DF094028D}">
  <cacheSource type="worksheet">
    <worksheetSource name="Healthcare_dashboard"/>
  </cacheSource>
  <cacheFields count="17">
    <cacheField name="patient_id" numFmtId="0">
      <sharedItems containsSemiMixedTypes="0" containsString="0" containsNumber="1" containsInteger="1" minValue="1001" maxValue="1300"/>
    </cacheField>
    <cacheField name="age" numFmtId="0">
      <sharedItems containsSemiMixedTypes="0" containsString="0" containsNumber="1" containsInteger="1" minValue="20" maxValue="89"/>
    </cacheField>
    <cacheField name="gender" numFmtId="0">
      <sharedItems count="2">
        <s v="Male"/>
        <s v="Female"/>
      </sharedItems>
    </cacheField>
    <cacheField name="department" numFmtId="0">
      <sharedItems count="5">
        <s v="General Medicine"/>
        <s v="Oncology"/>
        <s v="Orthopedics"/>
        <s v="Neurology"/>
        <s v="Cardiology"/>
      </sharedItems>
    </cacheField>
    <cacheField name="admit_date" numFmtId="14">
      <sharedItems containsSemiMixedTypes="0" containsNonDate="0" containsDate="1" containsString="0" minDate="2023-01-01T00:00:00" maxDate="2023-10-28T00:00:00"/>
    </cacheField>
    <cacheField name="length_of_stay" numFmtId="0">
      <sharedItems containsSemiMixedTypes="0" containsString="0" containsNumber="1" containsInteger="1" minValue="1" maxValue="14"/>
    </cacheField>
    <cacheField name="prior_admissions_6mo" numFmtId="0">
      <sharedItems containsSemiMixedTypes="0" containsString="0" containsNumber="1" containsInteger="1" minValue="0" maxValue="4"/>
    </cacheField>
    <cacheField name="comorbidity_count" numFmtId="0">
      <sharedItems containsSemiMixedTypes="0" containsString="0" containsNumber="1" containsInteger="1" minValue="0" maxValue="5"/>
    </cacheField>
    <cacheField name="blood_glucose" numFmtId="0">
      <sharedItems containsSemiMixedTypes="0" containsString="0" containsNumber="1" containsInteger="1" minValue="70" maxValue="248"/>
    </cacheField>
    <cacheField name="blood_pressure" numFmtId="0">
      <sharedItems containsSemiMixedTypes="0" containsString="0" containsNumber="1" containsInteger="1" minValue="90" maxValue="179"/>
    </cacheField>
    <cacheField name="med_count" numFmtId="0">
      <sharedItems containsSemiMixedTypes="0" containsString="0" containsNumber="1" containsInteger="1" minValue="1" maxValue="11"/>
    </cacheField>
    <cacheField name="readmitted_30d" numFmtId="0">
      <sharedItems count="2">
        <s v="No"/>
        <s v="Yes"/>
      </sharedItems>
    </cacheField>
    <cacheField name="age_grp" numFmtId="0">
      <sharedItems count="4">
        <s v="Senior"/>
        <s v="Adult"/>
        <s v="Young"/>
        <s v="Middle-Aged"/>
      </sharedItems>
    </cacheField>
    <cacheField name="risk_score" numFmtId="0">
      <sharedItems containsSemiMixedTypes="0" containsString="0" containsNumber="1" containsInteger="1" minValue="0" maxValue="9"/>
    </cacheField>
    <cacheField name="high_BP_flag" numFmtId="0">
      <sharedItems containsSemiMixedTypes="0" containsString="0" containsNumber="1" containsInteger="1" minValue="0" maxValue="1"/>
    </cacheField>
    <cacheField name="high_glucose_flag" numFmtId="0">
      <sharedItems containsSemiMixedTypes="0" containsString="0" containsNumber="1" containsInteger="1" minValue="0" maxValue="1"/>
    </cacheField>
    <cacheField name="stay_type" numFmtId="0">
      <sharedItems/>
    </cacheField>
  </cacheFields>
  <extLst>
    <ext xmlns:x14="http://schemas.microsoft.com/office/spreadsheetml/2009/9/main" uri="{725AE2AE-9491-48be-B2B4-4EB974FC3084}">
      <x14:pivotCacheDefinition pivotCacheId="8029722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9.082833333334" createdVersion="8" refreshedVersion="8" minRefreshableVersion="3" recordCount="300" xr:uid="{F199D115-4FCC-4F64-8749-611592FD4D82}">
  <cacheSource type="worksheet">
    <worksheetSource name="Healthcare_dashboard"/>
  </cacheSource>
  <cacheFields count="17">
    <cacheField name="patient_id" numFmtId="0">
      <sharedItems containsSemiMixedTypes="0" containsString="0" containsNumber="1" containsInteger="1" minValue="1001" maxValue="1300"/>
    </cacheField>
    <cacheField name="age" numFmtId="0">
      <sharedItems containsSemiMixedTypes="0" containsString="0" containsNumber="1" containsInteger="1" minValue="20" maxValue="89"/>
    </cacheField>
    <cacheField name="gender" numFmtId="0">
      <sharedItems/>
    </cacheField>
    <cacheField name="department" numFmtId="0">
      <sharedItems/>
    </cacheField>
    <cacheField name="admit_date" numFmtId="22">
      <sharedItems containsSemiMixedTypes="0" containsNonDate="0" containsDate="1" containsString="0" minDate="2023-01-01T00:00:00" maxDate="2023-10-28T00:00:00"/>
    </cacheField>
    <cacheField name="length_of_stay" numFmtId="0">
      <sharedItems containsSemiMixedTypes="0" containsString="0" containsNumber="1" containsInteger="1" minValue="1" maxValue="14"/>
    </cacheField>
    <cacheField name="prior_admissions_6mo" numFmtId="0">
      <sharedItems containsSemiMixedTypes="0" containsString="0" containsNumber="1" containsInteger="1" minValue="0" maxValue="4"/>
    </cacheField>
    <cacheField name="comorbidity_count" numFmtId="0">
      <sharedItems containsSemiMixedTypes="0" containsString="0" containsNumber="1" containsInteger="1" minValue="0" maxValue="5"/>
    </cacheField>
    <cacheField name="blood_glucose" numFmtId="0">
      <sharedItems containsSemiMixedTypes="0" containsString="0" containsNumber="1" containsInteger="1" minValue="70" maxValue="248"/>
    </cacheField>
    <cacheField name="blood_pressure" numFmtId="0">
      <sharedItems containsSemiMixedTypes="0" containsString="0" containsNumber="1" containsInteger="1" minValue="90" maxValue="179"/>
    </cacheField>
    <cacheField name="med_count" numFmtId="0">
      <sharedItems containsSemiMixedTypes="0" containsString="0" containsNumber="1" containsInteger="1" minValue="1" maxValue="11"/>
    </cacheField>
    <cacheField name="readmitted_30d" numFmtId="0">
      <sharedItems containsSemiMixedTypes="0" containsString="0" containsNumber="1" containsInteger="1" minValue="0" maxValue="1"/>
    </cacheField>
    <cacheField name="age_grp" numFmtId="0">
      <sharedItems/>
    </cacheField>
    <cacheField name="risk_score" numFmtId="0">
      <sharedItems containsSemiMixedTypes="0" containsString="0" containsNumber="1" containsInteger="1" minValue="0" maxValue="9"/>
    </cacheField>
    <cacheField name="high_BP_flag" numFmtId="0">
      <sharedItems containsSemiMixedTypes="0" containsString="0" containsNumber="1" containsInteger="1" minValue="0" maxValue="1"/>
    </cacheField>
    <cacheField name="high_glucose_flag" numFmtId="0">
      <sharedItems containsSemiMixedTypes="0" containsString="0" containsNumber="1" containsInteger="1" minValue="0" maxValue="1"/>
    </cacheField>
    <cacheField name="stay_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n v="71"/>
    <x v="0"/>
    <x v="0"/>
    <d v="2023-01-01T00:00:00"/>
    <n v="10"/>
    <n v="3"/>
    <n v="3"/>
    <n v="153"/>
    <n v="158"/>
    <n v="5"/>
    <x v="0"/>
    <x v="0"/>
    <n v="6"/>
    <n v="1"/>
    <n v="0"/>
    <s v="Long"/>
  </r>
  <r>
    <n v="1002"/>
    <n v="34"/>
    <x v="1"/>
    <x v="1"/>
    <d v="2023-01-02T00:00:00"/>
    <n v="9"/>
    <n v="0"/>
    <n v="0"/>
    <n v="78"/>
    <n v="179"/>
    <n v="4"/>
    <x v="0"/>
    <x v="1"/>
    <n v="0"/>
    <n v="1"/>
    <n v="0"/>
    <s v="Long"/>
  </r>
  <r>
    <n v="1003"/>
    <n v="80"/>
    <x v="0"/>
    <x v="2"/>
    <d v="2023-01-03T00:00:00"/>
    <n v="5"/>
    <n v="1"/>
    <n v="1"/>
    <n v="235"/>
    <n v="151"/>
    <n v="10"/>
    <x v="1"/>
    <x v="0"/>
    <n v="2"/>
    <n v="1"/>
    <n v="1"/>
    <s v="Medium"/>
  </r>
  <r>
    <n v="1004"/>
    <n v="40"/>
    <x v="1"/>
    <x v="1"/>
    <d v="2023-01-04T00:00:00"/>
    <n v="6"/>
    <n v="2"/>
    <n v="5"/>
    <n v="245"/>
    <n v="155"/>
    <n v="1"/>
    <x v="1"/>
    <x v="1"/>
    <n v="7"/>
    <n v="1"/>
    <n v="1"/>
    <s v="Medium"/>
  </r>
  <r>
    <n v="1005"/>
    <n v="43"/>
    <x v="0"/>
    <x v="2"/>
    <d v="2023-01-05T00:00:00"/>
    <n v="4"/>
    <n v="1"/>
    <n v="0"/>
    <n v="132"/>
    <n v="153"/>
    <n v="10"/>
    <x v="0"/>
    <x v="1"/>
    <n v="1"/>
    <n v="1"/>
    <n v="0"/>
    <s v="Medium"/>
  </r>
  <r>
    <n v="1006"/>
    <n v="22"/>
    <x v="1"/>
    <x v="2"/>
    <d v="2023-01-06T00:00:00"/>
    <n v="10"/>
    <n v="1"/>
    <n v="3"/>
    <n v="186"/>
    <n v="159"/>
    <n v="6"/>
    <x v="0"/>
    <x v="2"/>
    <n v="4"/>
    <n v="1"/>
    <n v="1"/>
    <s v="Long"/>
  </r>
  <r>
    <n v="1007"/>
    <n v="41"/>
    <x v="1"/>
    <x v="0"/>
    <d v="2023-01-07T00:00:00"/>
    <n v="2"/>
    <n v="2"/>
    <n v="4"/>
    <n v="199"/>
    <n v="152"/>
    <n v="2"/>
    <x v="0"/>
    <x v="1"/>
    <n v="6"/>
    <n v="1"/>
    <n v="1"/>
    <s v="Short "/>
  </r>
  <r>
    <n v="1008"/>
    <n v="72"/>
    <x v="1"/>
    <x v="3"/>
    <d v="2023-01-08T00:00:00"/>
    <n v="11"/>
    <n v="1"/>
    <n v="0"/>
    <n v="157"/>
    <n v="162"/>
    <n v="3"/>
    <x v="0"/>
    <x v="0"/>
    <n v="1"/>
    <n v="1"/>
    <n v="0"/>
    <s v="Long"/>
  </r>
  <r>
    <n v="1009"/>
    <n v="21"/>
    <x v="1"/>
    <x v="4"/>
    <d v="2023-01-09T00:00:00"/>
    <n v="8"/>
    <n v="2"/>
    <n v="5"/>
    <n v="141"/>
    <n v="122"/>
    <n v="8"/>
    <x v="0"/>
    <x v="2"/>
    <n v="7"/>
    <n v="0"/>
    <n v="0"/>
    <s v="Long"/>
  </r>
  <r>
    <n v="1010"/>
    <n v="49"/>
    <x v="1"/>
    <x v="0"/>
    <d v="2023-01-10T00:00:00"/>
    <n v="11"/>
    <n v="0"/>
    <n v="0"/>
    <n v="208"/>
    <n v="130"/>
    <n v="10"/>
    <x v="1"/>
    <x v="3"/>
    <n v="0"/>
    <n v="0"/>
    <n v="1"/>
    <s v="Long"/>
  </r>
  <r>
    <n v="1011"/>
    <n v="57"/>
    <x v="1"/>
    <x v="0"/>
    <d v="2023-01-11T00:00:00"/>
    <n v="13"/>
    <n v="2"/>
    <n v="2"/>
    <n v="133"/>
    <n v="178"/>
    <n v="6"/>
    <x v="1"/>
    <x v="3"/>
    <n v="4"/>
    <n v="1"/>
    <n v="0"/>
    <s v="Long"/>
  </r>
  <r>
    <n v="1012"/>
    <n v="21"/>
    <x v="0"/>
    <x v="3"/>
    <d v="2023-01-12T00:00:00"/>
    <n v="6"/>
    <n v="2"/>
    <n v="4"/>
    <n v="141"/>
    <n v="137"/>
    <n v="3"/>
    <x v="1"/>
    <x v="2"/>
    <n v="6"/>
    <n v="0"/>
    <n v="0"/>
    <s v="Medium"/>
  </r>
  <r>
    <n v="1013"/>
    <n v="83"/>
    <x v="0"/>
    <x v="4"/>
    <d v="2023-01-13T00:00:00"/>
    <n v="5"/>
    <n v="3"/>
    <n v="5"/>
    <n v="90"/>
    <n v="102"/>
    <n v="7"/>
    <x v="0"/>
    <x v="0"/>
    <n v="8"/>
    <n v="0"/>
    <n v="0"/>
    <s v="Medium"/>
  </r>
  <r>
    <n v="1014"/>
    <n v="79"/>
    <x v="0"/>
    <x v="1"/>
    <d v="2023-01-14T00:00:00"/>
    <n v="9"/>
    <n v="2"/>
    <n v="5"/>
    <n v="87"/>
    <n v="162"/>
    <n v="4"/>
    <x v="1"/>
    <x v="0"/>
    <n v="7"/>
    <n v="1"/>
    <n v="0"/>
    <s v="Long"/>
  </r>
  <r>
    <n v="1015"/>
    <n v="40"/>
    <x v="1"/>
    <x v="1"/>
    <d v="2023-01-15T00:00:00"/>
    <n v="1"/>
    <n v="2"/>
    <n v="1"/>
    <n v="133"/>
    <n v="166"/>
    <n v="9"/>
    <x v="1"/>
    <x v="1"/>
    <n v="3"/>
    <n v="1"/>
    <n v="0"/>
    <s v="Short "/>
  </r>
  <r>
    <n v="1016"/>
    <n v="52"/>
    <x v="1"/>
    <x v="0"/>
    <d v="2023-01-16T00:00:00"/>
    <n v="5"/>
    <n v="0"/>
    <n v="3"/>
    <n v="151"/>
    <n v="120"/>
    <n v="5"/>
    <x v="0"/>
    <x v="3"/>
    <n v="3"/>
    <n v="0"/>
    <n v="0"/>
    <s v="Medium"/>
  </r>
  <r>
    <n v="1017"/>
    <n v="77"/>
    <x v="1"/>
    <x v="4"/>
    <d v="2023-01-17T00:00:00"/>
    <n v="6"/>
    <n v="3"/>
    <n v="1"/>
    <n v="179"/>
    <n v="164"/>
    <n v="3"/>
    <x v="1"/>
    <x v="0"/>
    <n v="4"/>
    <n v="1"/>
    <n v="0"/>
    <s v="Medium"/>
  </r>
  <r>
    <n v="1018"/>
    <n v="41"/>
    <x v="1"/>
    <x v="0"/>
    <d v="2023-01-18T00:00:00"/>
    <n v="5"/>
    <n v="4"/>
    <n v="5"/>
    <n v="164"/>
    <n v="157"/>
    <n v="2"/>
    <x v="1"/>
    <x v="1"/>
    <n v="9"/>
    <n v="1"/>
    <n v="0"/>
    <s v="Medium"/>
  </r>
  <r>
    <n v="1019"/>
    <n v="68"/>
    <x v="0"/>
    <x v="2"/>
    <d v="2023-01-19T00:00:00"/>
    <n v="6"/>
    <n v="0"/>
    <n v="4"/>
    <n v="235"/>
    <n v="93"/>
    <n v="11"/>
    <x v="0"/>
    <x v="0"/>
    <n v="4"/>
    <n v="0"/>
    <n v="1"/>
    <s v="Medium"/>
  </r>
  <r>
    <n v="1020"/>
    <n v="78"/>
    <x v="0"/>
    <x v="0"/>
    <d v="2023-01-20T00:00:00"/>
    <n v="6"/>
    <n v="0"/>
    <n v="0"/>
    <n v="101"/>
    <n v="108"/>
    <n v="2"/>
    <x v="0"/>
    <x v="0"/>
    <n v="0"/>
    <n v="0"/>
    <n v="0"/>
    <s v="Medium"/>
  </r>
  <r>
    <n v="1021"/>
    <n v="61"/>
    <x v="1"/>
    <x v="0"/>
    <d v="2023-01-21T00:00:00"/>
    <n v="7"/>
    <n v="4"/>
    <n v="0"/>
    <n v="80"/>
    <n v="159"/>
    <n v="3"/>
    <x v="0"/>
    <x v="0"/>
    <n v="4"/>
    <n v="1"/>
    <n v="0"/>
    <s v="Medium"/>
  </r>
  <r>
    <n v="1022"/>
    <n v="79"/>
    <x v="0"/>
    <x v="1"/>
    <d v="2023-01-22T00:00:00"/>
    <n v="4"/>
    <n v="2"/>
    <n v="4"/>
    <n v="114"/>
    <n v="171"/>
    <n v="2"/>
    <x v="0"/>
    <x v="0"/>
    <n v="6"/>
    <n v="1"/>
    <n v="0"/>
    <s v="Medium"/>
  </r>
  <r>
    <n v="1023"/>
    <n v="34"/>
    <x v="0"/>
    <x v="1"/>
    <d v="2023-01-23T00:00:00"/>
    <n v="14"/>
    <n v="1"/>
    <n v="5"/>
    <n v="102"/>
    <n v="102"/>
    <n v="4"/>
    <x v="0"/>
    <x v="1"/>
    <n v="6"/>
    <n v="0"/>
    <n v="0"/>
    <s v="Long"/>
  </r>
  <r>
    <n v="1024"/>
    <n v="81"/>
    <x v="1"/>
    <x v="1"/>
    <d v="2023-01-24T00:00:00"/>
    <n v="11"/>
    <n v="3"/>
    <n v="0"/>
    <n v="171"/>
    <n v="112"/>
    <n v="2"/>
    <x v="1"/>
    <x v="0"/>
    <n v="3"/>
    <n v="0"/>
    <n v="0"/>
    <s v="Long"/>
  </r>
  <r>
    <n v="1025"/>
    <n v="81"/>
    <x v="0"/>
    <x v="2"/>
    <d v="2023-01-25T00:00:00"/>
    <n v="14"/>
    <n v="1"/>
    <n v="0"/>
    <n v="238"/>
    <n v="172"/>
    <n v="10"/>
    <x v="0"/>
    <x v="0"/>
    <n v="1"/>
    <n v="1"/>
    <n v="1"/>
    <s v="Long"/>
  </r>
  <r>
    <n v="1026"/>
    <n v="66"/>
    <x v="1"/>
    <x v="1"/>
    <d v="2023-01-26T00:00:00"/>
    <n v="14"/>
    <n v="4"/>
    <n v="0"/>
    <n v="205"/>
    <n v="164"/>
    <n v="9"/>
    <x v="0"/>
    <x v="0"/>
    <n v="4"/>
    <n v="1"/>
    <n v="1"/>
    <s v="Long"/>
  </r>
  <r>
    <n v="1027"/>
    <n v="81"/>
    <x v="0"/>
    <x v="4"/>
    <d v="2023-01-27T00:00:00"/>
    <n v="14"/>
    <n v="0"/>
    <n v="3"/>
    <n v="80"/>
    <n v="90"/>
    <n v="2"/>
    <x v="0"/>
    <x v="0"/>
    <n v="3"/>
    <n v="0"/>
    <n v="0"/>
    <s v="Long"/>
  </r>
  <r>
    <n v="1028"/>
    <n v="70"/>
    <x v="1"/>
    <x v="3"/>
    <d v="2023-01-28T00:00:00"/>
    <n v="8"/>
    <n v="0"/>
    <n v="3"/>
    <n v="248"/>
    <n v="177"/>
    <n v="9"/>
    <x v="0"/>
    <x v="0"/>
    <n v="3"/>
    <n v="1"/>
    <n v="1"/>
    <s v="Long"/>
  </r>
  <r>
    <n v="1029"/>
    <n v="74"/>
    <x v="1"/>
    <x v="4"/>
    <d v="2023-01-29T00:00:00"/>
    <n v="7"/>
    <n v="3"/>
    <n v="2"/>
    <n v="157"/>
    <n v="143"/>
    <n v="6"/>
    <x v="0"/>
    <x v="0"/>
    <n v="5"/>
    <n v="1"/>
    <n v="0"/>
    <s v="Medium"/>
  </r>
  <r>
    <n v="1030"/>
    <n v="83"/>
    <x v="1"/>
    <x v="4"/>
    <d v="2023-01-30T00:00:00"/>
    <n v="9"/>
    <n v="0"/>
    <n v="1"/>
    <n v="110"/>
    <n v="160"/>
    <n v="1"/>
    <x v="0"/>
    <x v="0"/>
    <n v="1"/>
    <n v="1"/>
    <n v="0"/>
    <s v="Long"/>
  </r>
  <r>
    <n v="1031"/>
    <n v="22"/>
    <x v="1"/>
    <x v="1"/>
    <d v="2023-01-31T00:00:00"/>
    <n v="7"/>
    <n v="0"/>
    <n v="4"/>
    <n v="214"/>
    <n v="178"/>
    <n v="4"/>
    <x v="0"/>
    <x v="2"/>
    <n v="4"/>
    <n v="1"/>
    <n v="1"/>
    <s v="Medium"/>
  </r>
  <r>
    <n v="1032"/>
    <n v="70"/>
    <x v="0"/>
    <x v="3"/>
    <d v="2023-02-01T00:00:00"/>
    <n v="3"/>
    <n v="3"/>
    <n v="4"/>
    <n v="145"/>
    <n v="174"/>
    <n v="1"/>
    <x v="0"/>
    <x v="0"/>
    <n v="7"/>
    <n v="1"/>
    <n v="0"/>
    <s v="Short "/>
  </r>
  <r>
    <n v="1033"/>
    <n v="26"/>
    <x v="1"/>
    <x v="3"/>
    <d v="2023-02-02T00:00:00"/>
    <n v="3"/>
    <n v="3"/>
    <n v="4"/>
    <n v="190"/>
    <n v="104"/>
    <n v="6"/>
    <x v="0"/>
    <x v="2"/>
    <n v="7"/>
    <n v="0"/>
    <n v="1"/>
    <s v="Short "/>
  </r>
  <r>
    <n v="1034"/>
    <n v="40"/>
    <x v="1"/>
    <x v="3"/>
    <d v="2023-02-03T00:00:00"/>
    <n v="8"/>
    <n v="4"/>
    <n v="2"/>
    <n v="115"/>
    <n v="154"/>
    <n v="4"/>
    <x v="0"/>
    <x v="1"/>
    <n v="6"/>
    <n v="1"/>
    <n v="0"/>
    <s v="Long"/>
  </r>
  <r>
    <n v="1035"/>
    <n v="58"/>
    <x v="1"/>
    <x v="2"/>
    <d v="2023-02-04T00:00:00"/>
    <n v="5"/>
    <n v="0"/>
    <n v="3"/>
    <n v="229"/>
    <n v="165"/>
    <n v="3"/>
    <x v="1"/>
    <x v="3"/>
    <n v="3"/>
    <n v="1"/>
    <n v="1"/>
    <s v="Medium"/>
  </r>
  <r>
    <n v="1036"/>
    <n v="37"/>
    <x v="0"/>
    <x v="1"/>
    <d v="2023-02-05T00:00:00"/>
    <n v="4"/>
    <n v="0"/>
    <n v="5"/>
    <n v="149"/>
    <n v="160"/>
    <n v="3"/>
    <x v="0"/>
    <x v="1"/>
    <n v="5"/>
    <n v="1"/>
    <n v="0"/>
    <s v="Medium"/>
  </r>
  <r>
    <n v="1037"/>
    <n v="23"/>
    <x v="1"/>
    <x v="3"/>
    <d v="2023-02-06T00:00:00"/>
    <n v="8"/>
    <n v="4"/>
    <n v="5"/>
    <n v="123"/>
    <n v="104"/>
    <n v="9"/>
    <x v="1"/>
    <x v="2"/>
    <n v="9"/>
    <n v="0"/>
    <n v="0"/>
    <s v="Long"/>
  </r>
  <r>
    <n v="1038"/>
    <n v="79"/>
    <x v="0"/>
    <x v="2"/>
    <d v="2023-02-07T00:00:00"/>
    <n v="6"/>
    <n v="2"/>
    <n v="2"/>
    <n v="155"/>
    <n v="110"/>
    <n v="6"/>
    <x v="0"/>
    <x v="0"/>
    <n v="4"/>
    <n v="0"/>
    <n v="0"/>
    <s v="Medium"/>
  </r>
  <r>
    <n v="1039"/>
    <n v="33"/>
    <x v="1"/>
    <x v="0"/>
    <d v="2023-02-08T00:00:00"/>
    <n v="2"/>
    <n v="2"/>
    <n v="5"/>
    <n v="161"/>
    <n v="108"/>
    <n v="9"/>
    <x v="0"/>
    <x v="1"/>
    <n v="7"/>
    <n v="0"/>
    <n v="0"/>
    <s v="Short "/>
  </r>
  <r>
    <n v="1040"/>
    <n v="28"/>
    <x v="0"/>
    <x v="0"/>
    <d v="2023-02-09T00:00:00"/>
    <n v="4"/>
    <n v="2"/>
    <n v="4"/>
    <n v="217"/>
    <n v="149"/>
    <n v="5"/>
    <x v="1"/>
    <x v="2"/>
    <n v="6"/>
    <n v="1"/>
    <n v="1"/>
    <s v="Medium"/>
  </r>
  <r>
    <n v="1041"/>
    <n v="72"/>
    <x v="0"/>
    <x v="2"/>
    <d v="2023-02-10T00:00:00"/>
    <n v="12"/>
    <n v="4"/>
    <n v="1"/>
    <n v="230"/>
    <n v="178"/>
    <n v="2"/>
    <x v="0"/>
    <x v="0"/>
    <n v="5"/>
    <n v="1"/>
    <n v="1"/>
    <s v="Long"/>
  </r>
  <r>
    <n v="1042"/>
    <n v="21"/>
    <x v="1"/>
    <x v="2"/>
    <d v="2023-02-11T00:00:00"/>
    <n v="11"/>
    <n v="0"/>
    <n v="0"/>
    <n v="237"/>
    <n v="122"/>
    <n v="8"/>
    <x v="0"/>
    <x v="2"/>
    <n v="0"/>
    <n v="0"/>
    <n v="1"/>
    <s v="Long"/>
  </r>
  <r>
    <n v="1043"/>
    <n v="79"/>
    <x v="0"/>
    <x v="1"/>
    <d v="2023-02-12T00:00:00"/>
    <n v="4"/>
    <n v="4"/>
    <n v="3"/>
    <n v="229"/>
    <n v="138"/>
    <n v="5"/>
    <x v="0"/>
    <x v="0"/>
    <n v="7"/>
    <n v="0"/>
    <n v="1"/>
    <s v="Medium"/>
  </r>
  <r>
    <n v="1044"/>
    <n v="63"/>
    <x v="1"/>
    <x v="1"/>
    <d v="2023-02-13T00:00:00"/>
    <n v="6"/>
    <n v="4"/>
    <n v="3"/>
    <n v="166"/>
    <n v="124"/>
    <n v="2"/>
    <x v="0"/>
    <x v="0"/>
    <n v="7"/>
    <n v="0"/>
    <n v="0"/>
    <s v="Medium"/>
  </r>
  <r>
    <n v="1045"/>
    <n v="27"/>
    <x v="1"/>
    <x v="0"/>
    <d v="2023-02-14T00:00:00"/>
    <n v="6"/>
    <n v="2"/>
    <n v="2"/>
    <n v="71"/>
    <n v="133"/>
    <n v="4"/>
    <x v="0"/>
    <x v="2"/>
    <n v="4"/>
    <n v="0"/>
    <n v="0"/>
    <s v="Medium"/>
  </r>
  <r>
    <n v="1046"/>
    <n v="66"/>
    <x v="1"/>
    <x v="3"/>
    <d v="2023-02-15T00:00:00"/>
    <n v="1"/>
    <n v="1"/>
    <n v="3"/>
    <n v="102"/>
    <n v="179"/>
    <n v="9"/>
    <x v="0"/>
    <x v="0"/>
    <n v="4"/>
    <n v="1"/>
    <n v="0"/>
    <s v="Short "/>
  </r>
  <r>
    <n v="1047"/>
    <n v="54"/>
    <x v="0"/>
    <x v="0"/>
    <d v="2023-02-16T00:00:00"/>
    <n v="14"/>
    <n v="0"/>
    <n v="4"/>
    <n v="227"/>
    <n v="100"/>
    <n v="4"/>
    <x v="0"/>
    <x v="3"/>
    <n v="4"/>
    <n v="0"/>
    <n v="1"/>
    <s v="Long"/>
  </r>
  <r>
    <n v="1048"/>
    <n v="55"/>
    <x v="0"/>
    <x v="3"/>
    <d v="2023-02-17T00:00:00"/>
    <n v="8"/>
    <n v="2"/>
    <n v="5"/>
    <n v="230"/>
    <n v="161"/>
    <n v="4"/>
    <x v="0"/>
    <x v="3"/>
    <n v="7"/>
    <n v="1"/>
    <n v="1"/>
    <s v="Long"/>
  </r>
  <r>
    <n v="1049"/>
    <n v="69"/>
    <x v="1"/>
    <x v="3"/>
    <d v="2023-02-18T00:00:00"/>
    <n v="6"/>
    <n v="1"/>
    <n v="4"/>
    <n v="146"/>
    <n v="167"/>
    <n v="2"/>
    <x v="0"/>
    <x v="0"/>
    <n v="5"/>
    <n v="1"/>
    <n v="0"/>
    <s v="Medium"/>
  </r>
  <r>
    <n v="1050"/>
    <n v="23"/>
    <x v="1"/>
    <x v="1"/>
    <d v="2023-02-19T00:00:00"/>
    <n v="3"/>
    <n v="1"/>
    <n v="2"/>
    <n v="185"/>
    <n v="163"/>
    <n v="6"/>
    <x v="1"/>
    <x v="2"/>
    <n v="3"/>
    <n v="1"/>
    <n v="1"/>
    <s v="Short "/>
  </r>
  <r>
    <n v="1051"/>
    <n v="21"/>
    <x v="0"/>
    <x v="4"/>
    <d v="2023-02-20T00:00:00"/>
    <n v="14"/>
    <n v="3"/>
    <n v="4"/>
    <n v="223"/>
    <n v="155"/>
    <n v="11"/>
    <x v="1"/>
    <x v="2"/>
    <n v="7"/>
    <n v="1"/>
    <n v="1"/>
    <s v="Long"/>
  </r>
  <r>
    <n v="1052"/>
    <n v="25"/>
    <x v="1"/>
    <x v="4"/>
    <d v="2023-02-21T00:00:00"/>
    <n v="9"/>
    <n v="0"/>
    <n v="5"/>
    <n v="219"/>
    <n v="135"/>
    <n v="2"/>
    <x v="0"/>
    <x v="2"/>
    <n v="5"/>
    <n v="0"/>
    <n v="1"/>
    <s v="Long"/>
  </r>
  <r>
    <n v="1053"/>
    <n v="73"/>
    <x v="1"/>
    <x v="2"/>
    <d v="2023-02-22T00:00:00"/>
    <n v="2"/>
    <n v="1"/>
    <n v="1"/>
    <n v="172"/>
    <n v="98"/>
    <n v="7"/>
    <x v="1"/>
    <x v="0"/>
    <n v="2"/>
    <n v="0"/>
    <n v="0"/>
    <s v="Short "/>
  </r>
  <r>
    <n v="1054"/>
    <n v="23"/>
    <x v="1"/>
    <x v="1"/>
    <d v="2023-02-23T00:00:00"/>
    <n v="11"/>
    <n v="2"/>
    <n v="2"/>
    <n v="235"/>
    <n v="92"/>
    <n v="3"/>
    <x v="0"/>
    <x v="2"/>
    <n v="4"/>
    <n v="0"/>
    <n v="1"/>
    <s v="Long"/>
  </r>
  <r>
    <n v="1055"/>
    <n v="73"/>
    <x v="0"/>
    <x v="3"/>
    <d v="2023-02-24T00:00:00"/>
    <n v="8"/>
    <n v="3"/>
    <n v="1"/>
    <n v="172"/>
    <n v="174"/>
    <n v="3"/>
    <x v="0"/>
    <x v="0"/>
    <n v="4"/>
    <n v="1"/>
    <n v="0"/>
    <s v="Long"/>
  </r>
  <r>
    <n v="1056"/>
    <n v="82"/>
    <x v="0"/>
    <x v="4"/>
    <d v="2023-02-25T00:00:00"/>
    <n v="10"/>
    <n v="0"/>
    <n v="0"/>
    <n v="159"/>
    <n v="115"/>
    <n v="5"/>
    <x v="0"/>
    <x v="0"/>
    <n v="0"/>
    <n v="0"/>
    <n v="0"/>
    <s v="Long"/>
  </r>
  <r>
    <n v="1057"/>
    <n v="37"/>
    <x v="0"/>
    <x v="3"/>
    <d v="2023-02-26T00:00:00"/>
    <n v="3"/>
    <n v="4"/>
    <n v="1"/>
    <n v="243"/>
    <n v="161"/>
    <n v="3"/>
    <x v="1"/>
    <x v="1"/>
    <n v="5"/>
    <n v="1"/>
    <n v="1"/>
    <s v="Short "/>
  </r>
  <r>
    <n v="1058"/>
    <n v="63"/>
    <x v="1"/>
    <x v="4"/>
    <d v="2023-02-27T00:00:00"/>
    <n v="13"/>
    <n v="2"/>
    <n v="0"/>
    <n v="191"/>
    <n v="137"/>
    <n v="2"/>
    <x v="0"/>
    <x v="0"/>
    <n v="2"/>
    <n v="0"/>
    <n v="1"/>
    <s v="Long"/>
  </r>
  <r>
    <n v="1059"/>
    <n v="53"/>
    <x v="1"/>
    <x v="4"/>
    <d v="2023-02-28T00:00:00"/>
    <n v="12"/>
    <n v="1"/>
    <n v="0"/>
    <n v="212"/>
    <n v="155"/>
    <n v="10"/>
    <x v="0"/>
    <x v="3"/>
    <n v="1"/>
    <n v="1"/>
    <n v="1"/>
    <s v="Long"/>
  </r>
  <r>
    <n v="1060"/>
    <n v="81"/>
    <x v="1"/>
    <x v="4"/>
    <d v="2023-03-01T00:00:00"/>
    <n v="5"/>
    <n v="1"/>
    <n v="1"/>
    <n v="175"/>
    <n v="159"/>
    <n v="9"/>
    <x v="0"/>
    <x v="0"/>
    <n v="2"/>
    <n v="1"/>
    <n v="0"/>
    <s v="Medium"/>
  </r>
  <r>
    <n v="1061"/>
    <n v="33"/>
    <x v="0"/>
    <x v="1"/>
    <d v="2023-03-02T00:00:00"/>
    <n v="6"/>
    <n v="2"/>
    <n v="2"/>
    <n v="188"/>
    <n v="117"/>
    <n v="2"/>
    <x v="1"/>
    <x v="1"/>
    <n v="4"/>
    <n v="0"/>
    <n v="1"/>
    <s v="Medium"/>
  </r>
  <r>
    <n v="1062"/>
    <n v="67"/>
    <x v="1"/>
    <x v="0"/>
    <d v="2023-03-03T00:00:00"/>
    <n v="10"/>
    <n v="1"/>
    <n v="5"/>
    <n v="241"/>
    <n v="115"/>
    <n v="11"/>
    <x v="1"/>
    <x v="0"/>
    <n v="6"/>
    <n v="0"/>
    <n v="1"/>
    <s v="Long"/>
  </r>
  <r>
    <n v="1063"/>
    <n v="34"/>
    <x v="1"/>
    <x v="3"/>
    <d v="2023-03-04T00:00:00"/>
    <n v="6"/>
    <n v="3"/>
    <n v="4"/>
    <n v="118"/>
    <n v="114"/>
    <n v="2"/>
    <x v="1"/>
    <x v="1"/>
    <n v="7"/>
    <n v="0"/>
    <n v="0"/>
    <s v="Medium"/>
  </r>
  <r>
    <n v="1064"/>
    <n v="81"/>
    <x v="1"/>
    <x v="1"/>
    <d v="2023-03-05T00:00:00"/>
    <n v="4"/>
    <n v="0"/>
    <n v="4"/>
    <n v="173"/>
    <n v="101"/>
    <n v="8"/>
    <x v="0"/>
    <x v="0"/>
    <n v="4"/>
    <n v="0"/>
    <n v="0"/>
    <s v="Medium"/>
  </r>
  <r>
    <n v="1065"/>
    <n v="59"/>
    <x v="1"/>
    <x v="1"/>
    <d v="2023-03-06T00:00:00"/>
    <n v="3"/>
    <n v="3"/>
    <n v="5"/>
    <n v="130"/>
    <n v="94"/>
    <n v="9"/>
    <x v="0"/>
    <x v="3"/>
    <n v="8"/>
    <n v="0"/>
    <n v="0"/>
    <s v="Short "/>
  </r>
  <r>
    <n v="1066"/>
    <n v="72"/>
    <x v="0"/>
    <x v="1"/>
    <d v="2023-03-07T00:00:00"/>
    <n v="4"/>
    <n v="1"/>
    <n v="0"/>
    <n v="192"/>
    <n v="137"/>
    <n v="7"/>
    <x v="0"/>
    <x v="0"/>
    <n v="1"/>
    <n v="0"/>
    <n v="1"/>
    <s v="Medium"/>
  </r>
  <r>
    <n v="1067"/>
    <n v="43"/>
    <x v="0"/>
    <x v="1"/>
    <d v="2023-03-08T00:00:00"/>
    <n v="1"/>
    <n v="4"/>
    <n v="0"/>
    <n v="203"/>
    <n v="126"/>
    <n v="3"/>
    <x v="0"/>
    <x v="1"/>
    <n v="4"/>
    <n v="0"/>
    <n v="1"/>
    <s v="Short "/>
  </r>
  <r>
    <n v="1068"/>
    <n v="45"/>
    <x v="1"/>
    <x v="1"/>
    <d v="2023-03-09T00:00:00"/>
    <n v="4"/>
    <n v="0"/>
    <n v="2"/>
    <n v="78"/>
    <n v="168"/>
    <n v="9"/>
    <x v="0"/>
    <x v="3"/>
    <n v="2"/>
    <n v="1"/>
    <n v="0"/>
    <s v="Medium"/>
  </r>
  <r>
    <n v="1069"/>
    <n v="79"/>
    <x v="0"/>
    <x v="2"/>
    <d v="2023-03-10T00:00:00"/>
    <n v="1"/>
    <n v="0"/>
    <n v="3"/>
    <n v="75"/>
    <n v="133"/>
    <n v="3"/>
    <x v="0"/>
    <x v="0"/>
    <n v="3"/>
    <n v="0"/>
    <n v="0"/>
    <s v="Short "/>
  </r>
  <r>
    <n v="1070"/>
    <n v="60"/>
    <x v="0"/>
    <x v="3"/>
    <d v="2023-03-11T00:00:00"/>
    <n v="12"/>
    <n v="2"/>
    <n v="1"/>
    <n v="142"/>
    <n v="104"/>
    <n v="5"/>
    <x v="1"/>
    <x v="0"/>
    <n v="3"/>
    <n v="0"/>
    <n v="0"/>
    <s v="Long"/>
  </r>
  <r>
    <n v="1071"/>
    <n v="48"/>
    <x v="1"/>
    <x v="1"/>
    <d v="2023-03-12T00:00:00"/>
    <n v="1"/>
    <n v="2"/>
    <n v="0"/>
    <n v="172"/>
    <n v="132"/>
    <n v="9"/>
    <x v="1"/>
    <x v="3"/>
    <n v="2"/>
    <n v="0"/>
    <n v="0"/>
    <s v="Short "/>
  </r>
  <r>
    <n v="1072"/>
    <n v="34"/>
    <x v="1"/>
    <x v="3"/>
    <d v="2023-03-13T00:00:00"/>
    <n v="10"/>
    <n v="4"/>
    <n v="4"/>
    <n v="229"/>
    <n v="137"/>
    <n v="3"/>
    <x v="1"/>
    <x v="1"/>
    <n v="8"/>
    <n v="0"/>
    <n v="1"/>
    <s v="Long"/>
  </r>
  <r>
    <n v="1073"/>
    <n v="64"/>
    <x v="0"/>
    <x v="2"/>
    <d v="2023-03-14T00:00:00"/>
    <n v="14"/>
    <n v="0"/>
    <n v="2"/>
    <n v="110"/>
    <n v="176"/>
    <n v="7"/>
    <x v="1"/>
    <x v="0"/>
    <n v="2"/>
    <n v="1"/>
    <n v="0"/>
    <s v="Long"/>
  </r>
  <r>
    <n v="1074"/>
    <n v="84"/>
    <x v="1"/>
    <x v="2"/>
    <d v="2023-03-15T00:00:00"/>
    <n v="6"/>
    <n v="4"/>
    <n v="1"/>
    <n v="183"/>
    <n v="159"/>
    <n v="1"/>
    <x v="0"/>
    <x v="0"/>
    <n v="5"/>
    <n v="1"/>
    <n v="1"/>
    <s v="Medium"/>
  </r>
  <r>
    <n v="1075"/>
    <n v="28"/>
    <x v="0"/>
    <x v="3"/>
    <d v="2023-03-16T00:00:00"/>
    <n v="5"/>
    <n v="2"/>
    <n v="2"/>
    <n v="77"/>
    <n v="135"/>
    <n v="4"/>
    <x v="0"/>
    <x v="2"/>
    <n v="4"/>
    <n v="0"/>
    <n v="0"/>
    <s v="Medium"/>
  </r>
  <r>
    <n v="1076"/>
    <n v="20"/>
    <x v="1"/>
    <x v="4"/>
    <d v="2023-03-17T00:00:00"/>
    <n v="14"/>
    <n v="2"/>
    <n v="1"/>
    <n v="141"/>
    <n v="132"/>
    <n v="4"/>
    <x v="1"/>
    <x v="2"/>
    <n v="3"/>
    <n v="0"/>
    <n v="0"/>
    <s v="Long"/>
  </r>
  <r>
    <n v="1077"/>
    <n v="27"/>
    <x v="0"/>
    <x v="0"/>
    <d v="2023-03-18T00:00:00"/>
    <n v="11"/>
    <n v="0"/>
    <n v="1"/>
    <n v="247"/>
    <n v="110"/>
    <n v="7"/>
    <x v="0"/>
    <x v="2"/>
    <n v="1"/>
    <n v="0"/>
    <n v="1"/>
    <s v="Long"/>
  </r>
  <r>
    <n v="1078"/>
    <n v="82"/>
    <x v="1"/>
    <x v="4"/>
    <d v="2023-03-19T00:00:00"/>
    <n v="4"/>
    <n v="3"/>
    <n v="5"/>
    <n v="161"/>
    <n v="112"/>
    <n v="8"/>
    <x v="1"/>
    <x v="0"/>
    <n v="8"/>
    <n v="0"/>
    <n v="0"/>
    <s v="Medium"/>
  </r>
  <r>
    <n v="1079"/>
    <n v="30"/>
    <x v="0"/>
    <x v="4"/>
    <d v="2023-03-20T00:00:00"/>
    <n v="13"/>
    <n v="1"/>
    <n v="0"/>
    <n v="131"/>
    <n v="169"/>
    <n v="1"/>
    <x v="0"/>
    <x v="1"/>
    <n v="1"/>
    <n v="1"/>
    <n v="0"/>
    <s v="Long"/>
  </r>
  <r>
    <n v="1080"/>
    <n v="27"/>
    <x v="0"/>
    <x v="4"/>
    <d v="2023-03-21T00:00:00"/>
    <n v="11"/>
    <n v="2"/>
    <n v="2"/>
    <n v="153"/>
    <n v="136"/>
    <n v="5"/>
    <x v="0"/>
    <x v="2"/>
    <n v="4"/>
    <n v="0"/>
    <n v="0"/>
    <s v="Long"/>
  </r>
  <r>
    <n v="1081"/>
    <n v="54"/>
    <x v="0"/>
    <x v="1"/>
    <d v="2023-03-22T00:00:00"/>
    <n v="3"/>
    <n v="2"/>
    <n v="2"/>
    <n v="131"/>
    <n v="104"/>
    <n v="7"/>
    <x v="0"/>
    <x v="3"/>
    <n v="4"/>
    <n v="0"/>
    <n v="0"/>
    <s v="Short "/>
  </r>
  <r>
    <n v="1082"/>
    <n v="54"/>
    <x v="1"/>
    <x v="2"/>
    <d v="2023-03-23T00:00:00"/>
    <n v="1"/>
    <n v="3"/>
    <n v="5"/>
    <n v="180"/>
    <n v="114"/>
    <n v="4"/>
    <x v="1"/>
    <x v="3"/>
    <n v="8"/>
    <n v="0"/>
    <n v="1"/>
    <s v="Short "/>
  </r>
  <r>
    <n v="1083"/>
    <n v="52"/>
    <x v="0"/>
    <x v="4"/>
    <d v="2023-03-24T00:00:00"/>
    <n v="6"/>
    <n v="3"/>
    <n v="4"/>
    <n v="196"/>
    <n v="125"/>
    <n v="4"/>
    <x v="1"/>
    <x v="3"/>
    <n v="7"/>
    <n v="0"/>
    <n v="1"/>
    <s v="Medium"/>
  </r>
  <r>
    <n v="1084"/>
    <n v="24"/>
    <x v="0"/>
    <x v="2"/>
    <d v="2023-03-25T00:00:00"/>
    <n v="2"/>
    <n v="4"/>
    <n v="4"/>
    <n v="76"/>
    <n v="164"/>
    <n v="4"/>
    <x v="0"/>
    <x v="2"/>
    <n v="8"/>
    <n v="1"/>
    <n v="0"/>
    <s v="Short "/>
  </r>
  <r>
    <n v="1085"/>
    <n v="60"/>
    <x v="1"/>
    <x v="3"/>
    <d v="2023-03-26T00:00:00"/>
    <n v="8"/>
    <n v="4"/>
    <n v="0"/>
    <n v="153"/>
    <n v="140"/>
    <n v="6"/>
    <x v="1"/>
    <x v="0"/>
    <n v="4"/>
    <n v="1"/>
    <n v="0"/>
    <s v="Long"/>
  </r>
  <r>
    <n v="1086"/>
    <n v="47"/>
    <x v="1"/>
    <x v="0"/>
    <d v="2023-03-27T00:00:00"/>
    <n v="10"/>
    <n v="1"/>
    <n v="0"/>
    <n v="201"/>
    <n v="104"/>
    <n v="7"/>
    <x v="0"/>
    <x v="3"/>
    <n v="1"/>
    <n v="0"/>
    <n v="1"/>
    <s v="Long"/>
  </r>
  <r>
    <n v="1087"/>
    <n v="26"/>
    <x v="0"/>
    <x v="3"/>
    <d v="2023-03-28T00:00:00"/>
    <n v="5"/>
    <n v="1"/>
    <n v="3"/>
    <n v="203"/>
    <n v="157"/>
    <n v="2"/>
    <x v="0"/>
    <x v="2"/>
    <n v="4"/>
    <n v="1"/>
    <n v="1"/>
    <s v="Medium"/>
  </r>
  <r>
    <n v="1088"/>
    <n v="31"/>
    <x v="0"/>
    <x v="3"/>
    <d v="2023-03-29T00:00:00"/>
    <n v="7"/>
    <n v="0"/>
    <n v="5"/>
    <n v="127"/>
    <n v="110"/>
    <n v="5"/>
    <x v="0"/>
    <x v="1"/>
    <n v="5"/>
    <n v="0"/>
    <n v="0"/>
    <s v="Medium"/>
  </r>
  <r>
    <n v="1089"/>
    <n v="53"/>
    <x v="1"/>
    <x v="1"/>
    <d v="2023-03-30T00:00:00"/>
    <n v="10"/>
    <n v="4"/>
    <n v="4"/>
    <n v="91"/>
    <n v="102"/>
    <n v="4"/>
    <x v="0"/>
    <x v="3"/>
    <n v="8"/>
    <n v="0"/>
    <n v="0"/>
    <s v="Long"/>
  </r>
  <r>
    <n v="1090"/>
    <n v="52"/>
    <x v="1"/>
    <x v="0"/>
    <d v="2023-03-31T00:00:00"/>
    <n v="12"/>
    <n v="2"/>
    <n v="1"/>
    <n v="223"/>
    <n v="175"/>
    <n v="3"/>
    <x v="0"/>
    <x v="3"/>
    <n v="3"/>
    <n v="1"/>
    <n v="1"/>
    <s v="Long"/>
  </r>
  <r>
    <n v="1091"/>
    <n v="67"/>
    <x v="1"/>
    <x v="3"/>
    <d v="2023-04-01T00:00:00"/>
    <n v="2"/>
    <n v="4"/>
    <n v="2"/>
    <n v="196"/>
    <n v="108"/>
    <n v="7"/>
    <x v="1"/>
    <x v="0"/>
    <n v="6"/>
    <n v="0"/>
    <n v="1"/>
    <s v="Short "/>
  </r>
  <r>
    <n v="1092"/>
    <n v="42"/>
    <x v="1"/>
    <x v="3"/>
    <d v="2023-04-02T00:00:00"/>
    <n v="13"/>
    <n v="2"/>
    <n v="0"/>
    <n v="72"/>
    <n v="123"/>
    <n v="11"/>
    <x v="1"/>
    <x v="1"/>
    <n v="2"/>
    <n v="0"/>
    <n v="0"/>
    <s v="Long"/>
  </r>
  <r>
    <n v="1093"/>
    <n v="81"/>
    <x v="1"/>
    <x v="0"/>
    <d v="2023-04-03T00:00:00"/>
    <n v="8"/>
    <n v="3"/>
    <n v="2"/>
    <n v="196"/>
    <n v="167"/>
    <n v="6"/>
    <x v="0"/>
    <x v="0"/>
    <n v="5"/>
    <n v="1"/>
    <n v="1"/>
    <s v="Long"/>
  </r>
  <r>
    <n v="1094"/>
    <n v="56"/>
    <x v="0"/>
    <x v="0"/>
    <d v="2023-04-04T00:00:00"/>
    <n v="2"/>
    <n v="4"/>
    <n v="2"/>
    <n v="110"/>
    <n v="157"/>
    <n v="7"/>
    <x v="0"/>
    <x v="3"/>
    <n v="6"/>
    <n v="1"/>
    <n v="0"/>
    <s v="Short "/>
  </r>
  <r>
    <n v="1095"/>
    <n v="63"/>
    <x v="1"/>
    <x v="3"/>
    <d v="2023-04-05T00:00:00"/>
    <n v="4"/>
    <n v="3"/>
    <n v="3"/>
    <n v="175"/>
    <n v="141"/>
    <n v="5"/>
    <x v="1"/>
    <x v="0"/>
    <n v="6"/>
    <n v="1"/>
    <n v="0"/>
    <s v="Medium"/>
  </r>
  <r>
    <n v="1096"/>
    <n v="54"/>
    <x v="0"/>
    <x v="0"/>
    <d v="2023-04-06T00:00:00"/>
    <n v="1"/>
    <n v="1"/>
    <n v="4"/>
    <n v="83"/>
    <n v="116"/>
    <n v="6"/>
    <x v="1"/>
    <x v="3"/>
    <n v="5"/>
    <n v="0"/>
    <n v="0"/>
    <s v="Short "/>
  </r>
  <r>
    <n v="1097"/>
    <n v="84"/>
    <x v="0"/>
    <x v="3"/>
    <d v="2023-04-07T00:00:00"/>
    <n v="5"/>
    <n v="1"/>
    <n v="0"/>
    <n v="81"/>
    <n v="118"/>
    <n v="5"/>
    <x v="1"/>
    <x v="0"/>
    <n v="1"/>
    <n v="0"/>
    <n v="0"/>
    <s v="Medium"/>
  </r>
  <r>
    <n v="1098"/>
    <n v="66"/>
    <x v="0"/>
    <x v="3"/>
    <d v="2023-04-08T00:00:00"/>
    <n v="9"/>
    <n v="0"/>
    <n v="2"/>
    <n v="156"/>
    <n v="117"/>
    <n v="7"/>
    <x v="0"/>
    <x v="0"/>
    <n v="2"/>
    <n v="0"/>
    <n v="0"/>
    <s v="Long"/>
  </r>
  <r>
    <n v="1099"/>
    <n v="22"/>
    <x v="1"/>
    <x v="1"/>
    <d v="2023-04-09T00:00:00"/>
    <n v="1"/>
    <n v="4"/>
    <n v="0"/>
    <n v="81"/>
    <n v="124"/>
    <n v="2"/>
    <x v="0"/>
    <x v="2"/>
    <n v="4"/>
    <n v="0"/>
    <n v="0"/>
    <s v="Short "/>
  </r>
  <r>
    <n v="1100"/>
    <n v="20"/>
    <x v="0"/>
    <x v="4"/>
    <d v="2023-04-10T00:00:00"/>
    <n v="9"/>
    <n v="3"/>
    <n v="1"/>
    <n v="210"/>
    <n v="97"/>
    <n v="11"/>
    <x v="0"/>
    <x v="2"/>
    <n v="4"/>
    <n v="0"/>
    <n v="1"/>
    <s v="Long"/>
  </r>
  <r>
    <n v="1101"/>
    <n v="24"/>
    <x v="0"/>
    <x v="3"/>
    <d v="2023-04-11T00:00:00"/>
    <n v="11"/>
    <n v="2"/>
    <n v="3"/>
    <n v="94"/>
    <n v="105"/>
    <n v="5"/>
    <x v="0"/>
    <x v="2"/>
    <n v="5"/>
    <n v="0"/>
    <n v="0"/>
    <s v="Long"/>
  </r>
  <r>
    <n v="1102"/>
    <n v="33"/>
    <x v="1"/>
    <x v="2"/>
    <d v="2023-04-12T00:00:00"/>
    <n v="8"/>
    <n v="1"/>
    <n v="1"/>
    <n v="114"/>
    <n v="125"/>
    <n v="6"/>
    <x v="0"/>
    <x v="1"/>
    <n v="2"/>
    <n v="0"/>
    <n v="0"/>
    <s v="Long"/>
  </r>
  <r>
    <n v="1103"/>
    <n v="46"/>
    <x v="0"/>
    <x v="4"/>
    <d v="2023-04-13T00:00:00"/>
    <n v="6"/>
    <n v="1"/>
    <n v="0"/>
    <n v="191"/>
    <n v="119"/>
    <n v="6"/>
    <x v="1"/>
    <x v="3"/>
    <n v="1"/>
    <n v="0"/>
    <n v="1"/>
    <s v="Medium"/>
  </r>
  <r>
    <n v="1104"/>
    <n v="28"/>
    <x v="0"/>
    <x v="4"/>
    <d v="2023-04-14T00:00:00"/>
    <n v="7"/>
    <n v="2"/>
    <n v="0"/>
    <n v="216"/>
    <n v="107"/>
    <n v="5"/>
    <x v="0"/>
    <x v="2"/>
    <n v="2"/>
    <n v="0"/>
    <n v="1"/>
    <s v="Medium"/>
  </r>
  <r>
    <n v="1105"/>
    <n v="34"/>
    <x v="1"/>
    <x v="4"/>
    <d v="2023-04-15T00:00:00"/>
    <n v="3"/>
    <n v="3"/>
    <n v="4"/>
    <n v="124"/>
    <n v="91"/>
    <n v="10"/>
    <x v="0"/>
    <x v="1"/>
    <n v="7"/>
    <n v="0"/>
    <n v="0"/>
    <s v="Short "/>
  </r>
  <r>
    <n v="1106"/>
    <n v="61"/>
    <x v="0"/>
    <x v="1"/>
    <d v="2023-04-16T00:00:00"/>
    <n v="14"/>
    <n v="3"/>
    <n v="2"/>
    <n v="169"/>
    <n v="138"/>
    <n v="7"/>
    <x v="0"/>
    <x v="0"/>
    <n v="5"/>
    <n v="0"/>
    <n v="0"/>
    <s v="Long"/>
  </r>
  <r>
    <n v="1107"/>
    <n v="70"/>
    <x v="0"/>
    <x v="3"/>
    <d v="2023-04-17T00:00:00"/>
    <n v="1"/>
    <n v="4"/>
    <n v="2"/>
    <n v="242"/>
    <n v="166"/>
    <n v="10"/>
    <x v="0"/>
    <x v="0"/>
    <n v="6"/>
    <n v="1"/>
    <n v="1"/>
    <s v="Short "/>
  </r>
  <r>
    <n v="1108"/>
    <n v="82"/>
    <x v="0"/>
    <x v="1"/>
    <d v="2023-04-18T00:00:00"/>
    <n v="5"/>
    <n v="4"/>
    <n v="1"/>
    <n v="205"/>
    <n v="93"/>
    <n v="8"/>
    <x v="0"/>
    <x v="0"/>
    <n v="5"/>
    <n v="0"/>
    <n v="1"/>
    <s v="Medium"/>
  </r>
  <r>
    <n v="1109"/>
    <n v="71"/>
    <x v="1"/>
    <x v="3"/>
    <d v="2023-04-19T00:00:00"/>
    <n v="14"/>
    <n v="0"/>
    <n v="3"/>
    <n v="188"/>
    <n v="179"/>
    <n v="7"/>
    <x v="0"/>
    <x v="0"/>
    <n v="3"/>
    <n v="1"/>
    <n v="1"/>
    <s v="Long"/>
  </r>
  <r>
    <n v="1110"/>
    <n v="23"/>
    <x v="1"/>
    <x v="1"/>
    <d v="2023-04-20T00:00:00"/>
    <n v="12"/>
    <n v="1"/>
    <n v="5"/>
    <n v="122"/>
    <n v="178"/>
    <n v="5"/>
    <x v="0"/>
    <x v="2"/>
    <n v="6"/>
    <n v="1"/>
    <n v="0"/>
    <s v="Long"/>
  </r>
  <r>
    <n v="1111"/>
    <n v="42"/>
    <x v="1"/>
    <x v="1"/>
    <d v="2023-04-21T00:00:00"/>
    <n v="12"/>
    <n v="4"/>
    <n v="2"/>
    <n v="101"/>
    <n v="164"/>
    <n v="1"/>
    <x v="1"/>
    <x v="1"/>
    <n v="6"/>
    <n v="1"/>
    <n v="0"/>
    <s v="Long"/>
  </r>
  <r>
    <n v="1112"/>
    <n v="34"/>
    <x v="0"/>
    <x v="2"/>
    <d v="2023-04-22T00:00:00"/>
    <n v="2"/>
    <n v="3"/>
    <n v="4"/>
    <n v="120"/>
    <n v="96"/>
    <n v="5"/>
    <x v="1"/>
    <x v="1"/>
    <n v="7"/>
    <n v="0"/>
    <n v="0"/>
    <s v="Short "/>
  </r>
  <r>
    <n v="1113"/>
    <n v="62"/>
    <x v="0"/>
    <x v="1"/>
    <d v="2023-04-23T00:00:00"/>
    <n v="14"/>
    <n v="2"/>
    <n v="1"/>
    <n v="113"/>
    <n v="163"/>
    <n v="10"/>
    <x v="0"/>
    <x v="0"/>
    <n v="3"/>
    <n v="1"/>
    <n v="0"/>
    <s v="Long"/>
  </r>
  <r>
    <n v="1114"/>
    <n v="48"/>
    <x v="1"/>
    <x v="0"/>
    <d v="2023-04-24T00:00:00"/>
    <n v="5"/>
    <n v="3"/>
    <n v="1"/>
    <n v="151"/>
    <n v="128"/>
    <n v="2"/>
    <x v="0"/>
    <x v="3"/>
    <n v="4"/>
    <n v="0"/>
    <n v="0"/>
    <s v="Medium"/>
  </r>
  <r>
    <n v="1115"/>
    <n v="55"/>
    <x v="0"/>
    <x v="2"/>
    <d v="2023-04-25T00:00:00"/>
    <n v="8"/>
    <n v="1"/>
    <n v="5"/>
    <n v="215"/>
    <n v="102"/>
    <n v="5"/>
    <x v="1"/>
    <x v="3"/>
    <n v="6"/>
    <n v="0"/>
    <n v="1"/>
    <s v="Long"/>
  </r>
  <r>
    <n v="1116"/>
    <n v="32"/>
    <x v="0"/>
    <x v="1"/>
    <d v="2023-04-26T00:00:00"/>
    <n v="11"/>
    <n v="3"/>
    <n v="4"/>
    <n v="219"/>
    <n v="120"/>
    <n v="5"/>
    <x v="0"/>
    <x v="1"/>
    <n v="7"/>
    <n v="0"/>
    <n v="1"/>
    <s v="Long"/>
  </r>
  <r>
    <n v="1117"/>
    <n v="51"/>
    <x v="1"/>
    <x v="4"/>
    <d v="2023-04-27T00:00:00"/>
    <n v="9"/>
    <n v="0"/>
    <n v="3"/>
    <n v="106"/>
    <n v="160"/>
    <n v="2"/>
    <x v="0"/>
    <x v="3"/>
    <n v="3"/>
    <n v="1"/>
    <n v="0"/>
    <s v="Long"/>
  </r>
  <r>
    <n v="1118"/>
    <n v="78"/>
    <x v="1"/>
    <x v="0"/>
    <d v="2023-04-28T00:00:00"/>
    <n v="2"/>
    <n v="1"/>
    <n v="4"/>
    <n v="165"/>
    <n v="152"/>
    <n v="5"/>
    <x v="1"/>
    <x v="0"/>
    <n v="5"/>
    <n v="1"/>
    <n v="0"/>
    <s v="Short "/>
  </r>
  <r>
    <n v="1119"/>
    <n v="47"/>
    <x v="0"/>
    <x v="0"/>
    <d v="2023-04-29T00:00:00"/>
    <n v="12"/>
    <n v="2"/>
    <n v="3"/>
    <n v="125"/>
    <n v="145"/>
    <n v="4"/>
    <x v="0"/>
    <x v="3"/>
    <n v="5"/>
    <n v="1"/>
    <n v="0"/>
    <s v="Long"/>
  </r>
  <r>
    <n v="1120"/>
    <n v="85"/>
    <x v="0"/>
    <x v="0"/>
    <d v="2023-04-30T00:00:00"/>
    <n v="3"/>
    <n v="0"/>
    <n v="4"/>
    <n v="174"/>
    <n v="131"/>
    <n v="1"/>
    <x v="0"/>
    <x v="0"/>
    <n v="4"/>
    <n v="0"/>
    <n v="0"/>
    <s v="Short "/>
  </r>
  <r>
    <n v="1121"/>
    <n v="61"/>
    <x v="0"/>
    <x v="2"/>
    <d v="2023-05-01T00:00:00"/>
    <n v="3"/>
    <n v="1"/>
    <n v="4"/>
    <n v="128"/>
    <n v="150"/>
    <n v="3"/>
    <x v="0"/>
    <x v="0"/>
    <n v="5"/>
    <n v="1"/>
    <n v="0"/>
    <s v="Short "/>
  </r>
  <r>
    <n v="1122"/>
    <n v="64"/>
    <x v="1"/>
    <x v="1"/>
    <d v="2023-05-02T00:00:00"/>
    <n v="1"/>
    <n v="2"/>
    <n v="0"/>
    <n v="200"/>
    <n v="131"/>
    <n v="1"/>
    <x v="0"/>
    <x v="0"/>
    <n v="2"/>
    <n v="0"/>
    <n v="1"/>
    <s v="Short "/>
  </r>
  <r>
    <n v="1123"/>
    <n v="81"/>
    <x v="1"/>
    <x v="1"/>
    <d v="2023-05-03T00:00:00"/>
    <n v="8"/>
    <n v="0"/>
    <n v="1"/>
    <n v="225"/>
    <n v="145"/>
    <n v="11"/>
    <x v="0"/>
    <x v="0"/>
    <n v="1"/>
    <n v="1"/>
    <n v="1"/>
    <s v="Long"/>
  </r>
  <r>
    <n v="1124"/>
    <n v="76"/>
    <x v="1"/>
    <x v="4"/>
    <d v="2023-05-04T00:00:00"/>
    <n v="6"/>
    <n v="0"/>
    <n v="4"/>
    <n v="104"/>
    <n v="125"/>
    <n v="5"/>
    <x v="1"/>
    <x v="0"/>
    <n v="4"/>
    <n v="0"/>
    <n v="0"/>
    <s v="Medium"/>
  </r>
  <r>
    <n v="1125"/>
    <n v="25"/>
    <x v="1"/>
    <x v="4"/>
    <d v="2023-05-05T00:00:00"/>
    <n v="12"/>
    <n v="1"/>
    <n v="5"/>
    <n v="162"/>
    <n v="173"/>
    <n v="4"/>
    <x v="0"/>
    <x v="2"/>
    <n v="6"/>
    <n v="1"/>
    <n v="0"/>
    <s v="Long"/>
  </r>
  <r>
    <n v="1126"/>
    <n v="47"/>
    <x v="0"/>
    <x v="0"/>
    <d v="2023-05-06T00:00:00"/>
    <n v="13"/>
    <n v="4"/>
    <n v="4"/>
    <n v="166"/>
    <n v="157"/>
    <n v="7"/>
    <x v="0"/>
    <x v="3"/>
    <n v="8"/>
    <n v="1"/>
    <n v="0"/>
    <s v="Long"/>
  </r>
  <r>
    <n v="1127"/>
    <n v="47"/>
    <x v="1"/>
    <x v="4"/>
    <d v="2023-05-07T00:00:00"/>
    <n v="8"/>
    <n v="0"/>
    <n v="2"/>
    <n v="204"/>
    <n v="96"/>
    <n v="5"/>
    <x v="1"/>
    <x v="3"/>
    <n v="2"/>
    <n v="0"/>
    <n v="1"/>
    <s v="Long"/>
  </r>
  <r>
    <n v="1128"/>
    <n v="63"/>
    <x v="1"/>
    <x v="2"/>
    <d v="2023-05-08T00:00:00"/>
    <n v="11"/>
    <n v="0"/>
    <n v="1"/>
    <n v="145"/>
    <n v="143"/>
    <n v="10"/>
    <x v="0"/>
    <x v="0"/>
    <n v="1"/>
    <n v="1"/>
    <n v="0"/>
    <s v="Long"/>
  </r>
  <r>
    <n v="1129"/>
    <n v="49"/>
    <x v="1"/>
    <x v="1"/>
    <d v="2023-05-09T00:00:00"/>
    <n v="9"/>
    <n v="2"/>
    <n v="2"/>
    <n v="118"/>
    <n v="90"/>
    <n v="4"/>
    <x v="0"/>
    <x v="3"/>
    <n v="4"/>
    <n v="0"/>
    <n v="0"/>
    <s v="Long"/>
  </r>
  <r>
    <n v="1130"/>
    <n v="81"/>
    <x v="1"/>
    <x v="0"/>
    <d v="2023-05-10T00:00:00"/>
    <n v="5"/>
    <n v="3"/>
    <n v="1"/>
    <n v="163"/>
    <n v="133"/>
    <n v="2"/>
    <x v="1"/>
    <x v="0"/>
    <n v="4"/>
    <n v="0"/>
    <n v="0"/>
    <s v="Medium"/>
  </r>
  <r>
    <n v="1131"/>
    <n v="81"/>
    <x v="1"/>
    <x v="4"/>
    <d v="2023-05-11T00:00:00"/>
    <n v="14"/>
    <n v="1"/>
    <n v="2"/>
    <n v="228"/>
    <n v="134"/>
    <n v="4"/>
    <x v="0"/>
    <x v="0"/>
    <n v="3"/>
    <n v="0"/>
    <n v="1"/>
    <s v="Long"/>
  </r>
  <r>
    <n v="1132"/>
    <n v="20"/>
    <x v="0"/>
    <x v="2"/>
    <d v="2023-05-12T00:00:00"/>
    <n v="12"/>
    <n v="1"/>
    <n v="4"/>
    <n v="93"/>
    <n v="136"/>
    <n v="2"/>
    <x v="1"/>
    <x v="2"/>
    <n v="5"/>
    <n v="0"/>
    <n v="0"/>
    <s v="Long"/>
  </r>
  <r>
    <n v="1133"/>
    <n v="46"/>
    <x v="0"/>
    <x v="2"/>
    <d v="2023-05-13T00:00:00"/>
    <n v="14"/>
    <n v="4"/>
    <n v="4"/>
    <n v="217"/>
    <n v="102"/>
    <n v="8"/>
    <x v="1"/>
    <x v="3"/>
    <n v="8"/>
    <n v="0"/>
    <n v="1"/>
    <s v="Long"/>
  </r>
  <r>
    <n v="1134"/>
    <n v="81"/>
    <x v="1"/>
    <x v="4"/>
    <d v="2023-05-14T00:00:00"/>
    <n v="3"/>
    <n v="4"/>
    <n v="0"/>
    <n v="106"/>
    <n v="111"/>
    <n v="3"/>
    <x v="0"/>
    <x v="0"/>
    <n v="4"/>
    <n v="0"/>
    <n v="0"/>
    <s v="Short "/>
  </r>
  <r>
    <n v="1135"/>
    <n v="22"/>
    <x v="0"/>
    <x v="1"/>
    <d v="2023-05-15T00:00:00"/>
    <n v="5"/>
    <n v="1"/>
    <n v="5"/>
    <n v="73"/>
    <n v="110"/>
    <n v="9"/>
    <x v="0"/>
    <x v="2"/>
    <n v="6"/>
    <n v="0"/>
    <n v="0"/>
    <s v="Medium"/>
  </r>
  <r>
    <n v="1136"/>
    <n v="89"/>
    <x v="1"/>
    <x v="4"/>
    <d v="2023-05-16T00:00:00"/>
    <n v="5"/>
    <n v="4"/>
    <n v="2"/>
    <n v="177"/>
    <n v="175"/>
    <n v="4"/>
    <x v="1"/>
    <x v="0"/>
    <n v="6"/>
    <n v="1"/>
    <n v="0"/>
    <s v="Medium"/>
  </r>
  <r>
    <n v="1137"/>
    <n v="46"/>
    <x v="1"/>
    <x v="0"/>
    <d v="2023-05-17T00:00:00"/>
    <n v="5"/>
    <n v="2"/>
    <n v="3"/>
    <n v="195"/>
    <n v="98"/>
    <n v="6"/>
    <x v="0"/>
    <x v="3"/>
    <n v="5"/>
    <n v="0"/>
    <n v="1"/>
    <s v="Medium"/>
  </r>
  <r>
    <n v="1138"/>
    <n v="28"/>
    <x v="0"/>
    <x v="4"/>
    <d v="2023-05-18T00:00:00"/>
    <n v="3"/>
    <n v="1"/>
    <n v="0"/>
    <n v="89"/>
    <n v="115"/>
    <n v="10"/>
    <x v="1"/>
    <x v="2"/>
    <n v="1"/>
    <n v="0"/>
    <n v="0"/>
    <s v="Short "/>
  </r>
  <r>
    <n v="1139"/>
    <n v="81"/>
    <x v="0"/>
    <x v="2"/>
    <d v="2023-05-19T00:00:00"/>
    <n v="11"/>
    <n v="4"/>
    <n v="2"/>
    <n v="221"/>
    <n v="98"/>
    <n v="5"/>
    <x v="0"/>
    <x v="0"/>
    <n v="6"/>
    <n v="0"/>
    <n v="1"/>
    <s v="Long"/>
  </r>
  <r>
    <n v="1140"/>
    <n v="56"/>
    <x v="1"/>
    <x v="4"/>
    <d v="2023-05-20T00:00:00"/>
    <n v="14"/>
    <n v="1"/>
    <n v="2"/>
    <n v="119"/>
    <n v="104"/>
    <n v="10"/>
    <x v="0"/>
    <x v="3"/>
    <n v="3"/>
    <n v="0"/>
    <n v="0"/>
    <s v="Long"/>
  </r>
  <r>
    <n v="1141"/>
    <n v="70"/>
    <x v="1"/>
    <x v="1"/>
    <d v="2023-05-21T00:00:00"/>
    <n v="10"/>
    <n v="3"/>
    <n v="0"/>
    <n v="246"/>
    <n v="99"/>
    <n v="1"/>
    <x v="0"/>
    <x v="0"/>
    <n v="3"/>
    <n v="0"/>
    <n v="1"/>
    <s v="Long"/>
  </r>
  <r>
    <n v="1142"/>
    <n v="63"/>
    <x v="1"/>
    <x v="3"/>
    <d v="2023-05-22T00:00:00"/>
    <n v="14"/>
    <n v="0"/>
    <n v="4"/>
    <n v="248"/>
    <n v="177"/>
    <n v="9"/>
    <x v="1"/>
    <x v="0"/>
    <n v="4"/>
    <n v="1"/>
    <n v="1"/>
    <s v="Long"/>
  </r>
  <r>
    <n v="1143"/>
    <n v="43"/>
    <x v="0"/>
    <x v="4"/>
    <d v="2023-05-23T00:00:00"/>
    <n v="4"/>
    <n v="1"/>
    <n v="2"/>
    <n v="165"/>
    <n v="131"/>
    <n v="1"/>
    <x v="1"/>
    <x v="1"/>
    <n v="3"/>
    <n v="0"/>
    <n v="0"/>
    <s v="Medium"/>
  </r>
  <r>
    <n v="1144"/>
    <n v="78"/>
    <x v="1"/>
    <x v="1"/>
    <d v="2023-05-24T00:00:00"/>
    <n v="9"/>
    <n v="0"/>
    <n v="4"/>
    <n v="174"/>
    <n v="161"/>
    <n v="8"/>
    <x v="0"/>
    <x v="0"/>
    <n v="4"/>
    <n v="1"/>
    <n v="0"/>
    <s v="Long"/>
  </r>
  <r>
    <n v="1145"/>
    <n v="51"/>
    <x v="1"/>
    <x v="1"/>
    <d v="2023-05-25T00:00:00"/>
    <n v="13"/>
    <n v="4"/>
    <n v="0"/>
    <n v="233"/>
    <n v="113"/>
    <n v="9"/>
    <x v="0"/>
    <x v="3"/>
    <n v="4"/>
    <n v="0"/>
    <n v="1"/>
    <s v="Long"/>
  </r>
  <r>
    <n v="1146"/>
    <n v="71"/>
    <x v="1"/>
    <x v="2"/>
    <d v="2023-05-26T00:00:00"/>
    <n v="10"/>
    <n v="0"/>
    <n v="4"/>
    <n v="186"/>
    <n v="169"/>
    <n v="9"/>
    <x v="1"/>
    <x v="0"/>
    <n v="4"/>
    <n v="1"/>
    <n v="1"/>
    <s v="Long"/>
  </r>
  <r>
    <n v="1147"/>
    <n v="81"/>
    <x v="0"/>
    <x v="1"/>
    <d v="2023-05-27T00:00:00"/>
    <n v="9"/>
    <n v="1"/>
    <n v="1"/>
    <n v="167"/>
    <n v="138"/>
    <n v="1"/>
    <x v="0"/>
    <x v="0"/>
    <n v="2"/>
    <n v="0"/>
    <n v="0"/>
    <s v="Long"/>
  </r>
  <r>
    <n v="1148"/>
    <n v="77"/>
    <x v="1"/>
    <x v="1"/>
    <d v="2023-05-28T00:00:00"/>
    <n v="2"/>
    <n v="3"/>
    <n v="3"/>
    <n v="135"/>
    <n v="115"/>
    <n v="2"/>
    <x v="0"/>
    <x v="0"/>
    <n v="6"/>
    <n v="0"/>
    <n v="0"/>
    <s v="Short "/>
  </r>
  <r>
    <n v="1149"/>
    <n v="71"/>
    <x v="1"/>
    <x v="1"/>
    <d v="2023-05-29T00:00:00"/>
    <n v="8"/>
    <n v="4"/>
    <n v="2"/>
    <n v="148"/>
    <n v="126"/>
    <n v="1"/>
    <x v="0"/>
    <x v="0"/>
    <n v="6"/>
    <n v="0"/>
    <n v="0"/>
    <s v="Long"/>
  </r>
  <r>
    <n v="1150"/>
    <n v="31"/>
    <x v="0"/>
    <x v="1"/>
    <d v="2023-05-30T00:00:00"/>
    <n v="8"/>
    <n v="1"/>
    <n v="5"/>
    <n v="231"/>
    <n v="157"/>
    <n v="10"/>
    <x v="0"/>
    <x v="1"/>
    <n v="6"/>
    <n v="1"/>
    <n v="1"/>
    <s v="Long"/>
  </r>
  <r>
    <n v="1151"/>
    <n v="58"/>
    <x v="1"/>
    <x v="0"/>
    <d v="2023-05-31T00:00:00"/>
    <n v="7"/>
    <n v="4"/>
    <n v="3"/>
    <n v="233"/>
    <n v="139"/>
    <n v="2"/>
    <x v="1"/>
    <x v="3"/>
    <n v="7"/>
    <n v="0"/>
    <n v="1"/>
    <s v="Medium"/>
  </r>
  <r>
    <n v="1152"/>
    <n v="21"/>
    <x v="1"/>
    <x v="0"/>
    <d v="2023-06-01T00:00:00"/>
    <n v="8"/>
    <n v="2"/>
    <n v="4"/>
    <n v="75"/>
    <n v="113"/>
    <n v="10"/>
    <x v="0"/>
    <x v="2"/>
    <n v="6"/>
    <n v="0"/>
    <n v="0"/>
    <s v="Long"/>
  </r>
  <r>
    <n v="1153"/>
    <n v="22"/>
    <x v="0"/>
    <x v="2"/>
    <d v="2023-06-02T00:00:00"/>
    <n v="14"/>
    <n v="0"/>
    <n v="2"/>
    <n v="108"/>
    <n v="108"/>
    <n v="8"/>
    <x v="0"/>
    <x v="2"/>
    <n v="2"/>
    <n v="0"/>
    <n v="0"/>
    <s v="Long"/>
  </r>
  <r>
    <n v="1154"/>
    <n v="75"/>
    <x v="1"/>
    <x v="4"/>
    <d v="2023-06-03T00:00:00"/>
    <n v="3"/>
    <n v="2"/>
    <n v="4"/>
    <n v="239"/>
    <n v="149"/>
    <n v="5"/>
    <x v="0"/>
    <x v="0"/>
    <n v="6"/>
    <n v="1"/>
    <n v="1"/>
    <s v="Short "/>
  </r>
  <r>
    <n v="1155"/>
    <n v="78"/>
    <x v="0"/>
    <x v="1"/>
    <d v="2023-06-04T00:00:00"/>
    <n v="13"/>
    <n v="1"/>
    <n v="1"/>
    <n v="184"/>
    <n v="128"/>
    <n v="11"/>
    <x v="1"/>
    <x v="0"/>
    <n v="2"/>
    <n v="0"/>
    <n v="1"/>
    <s v="Long"/>
  </r>
  <r>
    <n v="1156"/>
    <n v="21"/>
    <x v="0"/>
    <x v="4"/>
    <d v="2023-06-05T00:00:00"/>
    <n v="6"/>
    <n v="3"/>
    <n v="0"/>
    <n v="194"/>
    <n v="163"/>
    <n v="7"/>
    <x v="0"/>
    <x v="2"/>
    <n v="3"/>
    <n v="1"/>
    <n v="1"/>
    <s v="Medium"/>
  </r>
  <r>
    <n v="1157"/>
    <n v="21"/>
    <x v="1"/>
    <x v="4"/>
    <d v="2023-06-06T00:00:00"/>
    <n v="1"/>
    <n v="4"/>
    <n v="2"/>
    <n v="81"/>
    <n v="178"/>
    <n v="2"/>
    <x v="0"/>
    <x v="2"/>
    <n v="6"/>
    <n v="1"/>
    <n v="0"/>
    <s v="Short "/>
  </r>
  <r>
    <n v="1158"/>
    <n v="73"/>
    <x v="1"/>
    <x v="2"/>
    <d v="2023-06-07T00:00:00"/>
    <n v="7"/>
    <n v="0"/>
    <n v="1"/>
    <n v="200"/>
    <n v="107"/>
    <n v="8"/>
    <x v="0"/>
    <x v="0"/>
    <n v="1"/>
    <n v="0"/>
    <n v="1"/>
    <s v="Medium"/>
  </r>
  <r>
    <n v="1159"/>
    <n v="20"/>
    <x v="1"/>
    <x v="1"/>
    <d v="2023-06-08T00:00:00"/>
    <n v="1"/>
    <n v="4"/>
    <n v="1"/>
    <n v="87"/>
    <n v="108"/>
    <n v="11"/>
    <x v="1"/>
    <x v="2"/>
    <n v="5"/>
    <n v="0"/>
    <n v="0"/>
    <s v="Short "/>
  </r>
  <r>
    <n v="1160"/>
    <n v="38"/>
    <x v="1"/>
    <x v="1"/>
    <d v="2023-06-09T00:00:00"/>
    <n v="9"/>
    <n v="1"/>
    <n v="2"/>
    <n v="109"/>
    <n v="125"/>
    <n v="6"/>
    <x v="0"/>
    <x v="1"/>
    <n v="3"/>
    <n v="0"/>
    <n v="0"/>
    <s v="Long"/>
  </r>
  <r>
    <n v="1161"/>
    <n v="21"/>
    <x v="0"/>
    <x v="3"/>
    <d v="2023-06-10T00:00:00"/>
    <n v="1"/>
    <n v="4"/>
    <n v="4"/>
    <n v="90"/>
    <n v="163"/>
    <n v="8"/>
    <x v="0"/>
    <x v="2"/>
    <n v="8"/>
    <n v="1"/>
    <n v="0"/>
    <s v="Short "/>
  </r>
  <r>
    <n v="1162"/>
    <n v="72"/>
    <x v="1"/>
    <x v="4"/>
    <d v="2023-06-11T00:00:00"/>
    <n v="1"/>
    <n v="0"/>
    <n v="5"/>
    <n v="212"/>
    <n v="144"/>
    <n v="1"/>
    <x v="0"/>
    <x v="0"/>
    <n v="5"/>
    <n v="1"/>
    <n v="1"/>
    <s v="Short "/>
  </r>
  <r>
    <n v="1163"/>
    <n v="63"/>
    <x v="0"/>
    <x v="4"/>
    <d v="2023-06-12T00:00:00"/>
    <n v="7"/>
    <n v="1"/>
    <n v="1"/>
    <n v="168"/>
    <n v="158"/>
    <n v="1"/>
    <x v="0"/>
    <x v="0"/>
    <n v="2"/>
    <n v="1"/>
    <n v="0"/>
    <s v="Medium"/>
  </r>
  <r>
    <n v="1164"/>
    <n v="51"/>
    <x v="1"/>
    <x v="0"/>
    <d v="2023-06-13T00:00:00"/>
    <n v="2"/>
    <n v="4"/>
    <n v="3"/>
    <n v="95"/>
    <n v="136"/>
    <n v="7"/>
    <x v="0"/>
    <x v="3"/>
    <n v="7"/>
    <n v="0"/>
    <n v="0"/>
    <s v="Short "/>
  </r>
  <r>
    <n v="1165"/>
    <n v="89"/>
    <x v="1"/>
    <x v="3"/>
    <d v="2023-06-14T00:00:00"/>
    <n v="14"/>
    <n v="3"/>
    <n v="1"/>
    <n v="77"/>
    <n v="138"/>
    <n v="8"/>
    <x v="1"/>
    <x v="0"/>
    <n v="4"/>
    <n v="0"/>
    <n v="0"/>
    <s v="Long"/>
  </r>
  <r>
    <n v="1166"/>
    <n v="51"/>
    <x v="1"/>
    <x v="0"/>
    <d v="2023-06-15T00:00:00"/>
    <n v="5"/>
    <n v="1"/>
    <n v="5"/>
    <n v="169"/>
    <n v="122"/>
    <n v="3"/>
    <x v="0"/>
    <x v="3"/>
    <n v="6"/>
    <n v="0"/>
    <n v="0"/>
    <s v="Medium"/>
  </r>
  <r>
    <n v="1167"/>
    <n v="87"/>
    <x v="0"/>
    <x v="0"/>
    <d v="2023-06-16T00:00:00"/>
    <n v="8"/>
    <n v="1"/>
    <n v="4"/>
    <n v="156"/>
    <n v="110"/>
    <n v="5"/>
    <x v="1"/>
    <x v="0"/>
    <n v="5"/>
    <n v="0"/>
    <n v="0"/>
    <s v="Long"/>
  </r>
  <r>
    <n v="1168"/>
    <n v="74"/>
    <x v="1"/>
    <x v="0"/>
    <d v="2023-06-17T00:00:00"/>
    <n v="8"/>
    <n v="3"/>
    <n v="4"/>
    <n v="111"/>
    <n v="170"/>
    <n v="1"/>
    <x v="0"/>
    <x v="0"/>
    <n v="7"/>
    <n v="1"/>
    <n v="0"/>
    <s v="Long"/>
  </r>
  <r>
    <n v="1169"/>
    <n v="75"/>
    <x v="1"/>
    <x v="2"/>
    <d v="2023-06-18T00:00:00"/>
    <n v="3"/>
    <n v="2"/>
    <n v="3"/>
    <n v="241"/>
    <n v="111"/>
    <n v="7"/>
    <x v="1"/>
    <x v="0"/>
    <n v="5"/>
    <n v="0"/>
    <n v="1"/>
    <s v="Short "/>
  </r>
  <r>
    <n v="1170"/>
    <n v="36"/>
    <x v="1"/>
    <x v="2"/>
    <d v="2023-06-19T00:00:00"/>
    <n v="7"/>
    <n v="0"/>
    <n v="1"/>
    <n v="83"/>
    <n v="137"/>
    <n v="5"/>
    <x v="0"/>
    <x v="1"/>
    <n v="1"/>
    <n v="0"/>
    <n v="0"/>
    <s v="Medium"/>
  </r>
  <r>
    <n v="1171"/>
    <n v="57"/>
    <x v="1"/>
    <x v="0"/>
    <d v="2023-06-20T00:00:00"/>
    <n v="3"/>
    <n v="2"/>
    <n v="4"/>
    <n v="147"/>
    <n v="126"/>
    <n v="8"/>
    <x v="0"/>
    <x v="3"/>
    <n v="6"/>
    <n v="0"/>
    <n v="0"/>
    <s v="Short "/>
  </r>
  <r>
    <n v="1172"/>
    <n v="43"/>
    <x v="0"/>
    <x v="3"/>
    <d v="2023-06-21T00:00:00"/>
    <n v="6"/>
    <n v="4"/>
    <n v="5"/>
    <n v="71"/>
    <n v="104"/>
    <n v="8"/>
    <x v="1"/>
    <x v="1"/>
    <n v="9"/>
    <n v="0"/>
    <n v="0"/>
    <s v="Medium"/>
  </r>
  <r>
    <n v="1173"/>
    <n v="88"/>
    <x v="1"/>
    <x v="4"/>
    <d v="2023-06-22T00:00:00"/>
    <n v="6"/>
    <n v="3"/>
    <n v="2"/>
    <n v="188"/>
    <n v="124"/>
    <n v="9"/>
    <x v="1"/>
    <x v="0"/>
    <n v="5"/>
    <n v="0"/>
    <n v="1"/>
    <s v="Medium"/>
  </r>
  <r>
    <n v="1174"/>
    <n v="89"/>
    <x v="0"/>
    <x v="3"/>
    <d v="2023-06-23T00:00:00"/>
    <n v="3"/>
    <n v="2"/>
    <n v="0"/>
    <n v="106"/>
    <n v="160"/>
    <n v="7"/>
    <x v="0"/>
    <x v="0"/>
    <n v="2"/>
    <n v="1"/>
    <n v="0"/>
    <s v="Short "/>
  </r>
  <r>
    <n v="1175"/>
    <n v="30"/>
    <x v="0"/>
    <x v="1"/>
    <d v="2023-06-24T00:00:00"/>
    <n v="7"/>
    <n v="1"/>
    <n v="0"/>
    <n v="138"/>
    <n v="121"/>
    <n v="11"/>
    <x v="0"/>
    <x v="1"/>
    <n v="1"/>
    <n v="0"/>
    <n v="0"/>
    <s v="Medium"/>
  </r>
  <r>
    <n v="1176"/>
    <n v="35"/>
    <x v="0"/>
    <x v="2"/>
    <d v="2023-06-25T00:00:00"/>
    <n v="3"/>
    <n v="4"/>
    <n v="0"/>
    <n v="235"/>
    <n v="100"/>
    <n v="1"/>
    <x v="1"/>
    <x v="1"/>
    <n v="4"/>
    <n v="0"/>
    <n v="1"/>
    <s v="Short "/>
  </r>
  <r>
    <n v="1177"/>
    <n v="78"/>
    <x v="0"/>
    <x v="4"/>
    <d v="2023-06-26T00:00:00"/>
    <n v="8"/>
    <n v="4"/>
    <n v="1"/>
    <n v="110"/>
    <n v="99"/>
    <n v="3"/>
    <x v="0"/>
    <x v="0"/>
    <n v="5"/>
    <n v="0"/>
    <n v="0"/>
    <s v="Long"/>
  </r>
  <r>
    <n v="1178"/>
    <n v="89"/>
    <x v="0"/>
    <x v="4"/>
    <d v="2023-06-27T00:00:00"/>
    <n v="10"/>
    <n v="2"/>
    <n v="3"/>
    <n v="131"/>
    <n v="162"/>
    <n v="8"/>
    <x v="1"/>
    <x v="0"/>
    <n v="5"/>
    <n v="1"/>
    <n v="0"/>
    <s v="Long"/>
  </r>
  <r>
    <n v="1179"/>
    <n v="22"/>
    <x v="0"/>
    <x v="1"/>
    <d v="2023-06-28T00:00:00"/>
    <n v="4"/>
    <n v="2"/>
    <n v="4"/>
    <n v="129"/>
    <n v="167"/>
    <n v="3"/>
    <x v="1"/>
    <x v="2"/>
    <n v="6"/>
    <n v="1"/>
    <n v="0"/>
    <s v="Medium"/>
  </r>
  <r>
    <n v="1180"/>
    <n v="39"/>
    <x v="1"/>
    <x v="1"/>
    <d v="2023-06-29T00:00:00"/>
    <n v="13"/>
    <n v="3"/>
    <n v="2"/>
    <n v="194"/>
    <n v="166"/>
    <n v="8"/>
    <x v="0"/>
    <x v="1"/>
    <n v="5"/>
    <n v="1"/>
    <n v="1"/>
    <s v="Long"/>
  </r>
  <r>
    <n v="1181"/>
    <n v="78"/>
    <x v="0"/>
    <x v="0"/>
    <d v="2023-06-30T00:00:00"/>
    <n v="1"/>
    <n v="0"/>
    <n v="5"/>
    <n v="180"/>
    <n v="146"/>
    <n v="1"/>
    <x v="0"/>
    <x v="0"/>
    <n v="5"/>
    <n v="1"/>
    <n v="1"/>
    <s v="Short "/>
  </r>
  <r>
    <n v="1182"/>
    <n v="55"/>
    <x v="0"/>
    <x v="2"/>
    <d v="2023-07-01T00:00:00"/>
    <n v="4"/>
    <n v="2"/>
    <n v="2"/>
    <n v="83"/>
    <n v="114"/>
    <n v="5"/>
    <x v="0"/>
    <x v="3"/>
    <n v="4"/>
    <n v="0"/>
    <n v="0"/>
    <s v="Medium"/>
  </r>
  <r>
    <n v="1183"/>
    <n v="38"/>
    <x v="0"/>
    <x v="2"/>
    <d v="2023-07-02T00:00:00"/>
    <n v="14"/>
    <n v="2"/>
    <n v="5"/>
    <n v="153"/>
    <n v="91"/>
    <n v="4"/>
    <x v="0"/>
    <x v="1"/>
    <n v="7"/>
    <n v="0"/>
    <n v="0"/>
    <s v="Long"/>
  </r>
  <r>
    <n v="1184"/>
    <n v="86"/>
    <x v="1"/>
    <x v="3"/>
    <d v="2023-07-03T00:00:00"/>
    <n v="7"/>
    <n v="1"/>
    <n v="1"/>
    <n v="199"/>
    <n v="153"/>
    <n v="5"/>
    <x v="0"/>
    <x v="0"/>
    <n v="2"/>
    <n v="1"/>
    <n v="1"/>
    <s v="Medium"/>
  </r>
  <r>
    <n v="1185"/>
    <n v="38"/>
    <x v="1"/>
    <x v="0"/>
    <d v="2023-07-04T00:00:00"/>
    <n v="11"/>
    <n v="4"/>
    <n v="0"/>
    <n v="139"/>
    <n v="124"/>
    <n v="8"/>
    <x v="1"/>
    <x v="1"/>
    <n v="4"/>
    <n v="0"/>
    <n v="0"/>
    <s v="Long"/>
  </r>
  <r>
    <n v="1186"/>
    <n v="39"/>
    <x v="0"/>
    <x v="0"/>
    <d v="2023-07-05T00:00:00"/>
    <n v="4"/>
    <n v="0"/>
    <n v="1"/>
    <n v="214"/>
    <n v="96"/>
    <n v="10"/>
    <x v="0"/>
    <x v="1"/>
    <n v="1"/>
    <n v="0"/>
    <n v="1"/>
    <s v="Medium"/>
  </r>
  <r>
    <n v="1187"/>
    <n v="71"/>
    <x v="1"/>
    <x v="0"/>
    <d v="2023-07-06T00:00:00"/>
    <n v="13"/>
    <n v="1"/>
    <n v="3"/>
    <n v="192"/>
    <n v="174"/>
    <n v="4"/>
    <x v="1"/>
    <x v="0"/>
    <n v="4"/>
    <n v="1"/>
    <n v="1"/>
    <s v="Long"/>
  </r>
  <r>
    <n v="1188"/>
    <n v="52"/>
    <x v="0"/>
    <x v="0"/>
    <d v="2023-07-07T00:00:00"/>
    <n v="6"/>
    <n v="3"/>
    <n v="3"/>
    <n v="158"/>
    <n v="107"/>
    <n v="11"/>
    <x v="0"/>
    <x v="3"/>
    <n v="6"/>
    <n v="0"/>
    <n v="0"/>
    <s v="Medium"/>
  </r>
  <r>
    <n v="1189"/>
    <n v="59"/>
    <x v="0"/>
    <x v="2"/>
    <d v="2023-07-08T00:00:00"/>
    <n v="9"/>
    <n v="3"/>
    <n v="5"/>
    <n v="97"/>
    <n v="156"/>
    <n v="4"/>
    <x v="0"/>
    <x v="3"/>
    <n v="8"/>
    <n v="1"/>
    <n v="0"/>
    <s v="Long"/>
  </r>
  <r>
    <n v="1190"/>
    <n v="58"/>
    <x v="1"/>
    <x v="2"/>
    <d v="2023-07-09T00:00:00"/>
    <n v="1"/>
    <n v="2"/>
    <n v="4"/>
    <n v="135"/>
    <n v="131"/>
    <n v="3"/>
    <x v="0"/>
    <x v="3"/>
    <n v="6"/>
    <n v="0"/>
    <n v="0"/>
    <s v="Short "/>
  </r>
  <r>
    <n v="1191"/>
    <n v="20"/>
    <x v="0"/>
    <x v="0"/>
    <d v="2023-07-10T00:00:00"/>
    <n v="13"/>
    <n v="2"/>
    <n v="4"/>
    <n v="232"/>
    <n v="128"/>
    <n v="7"/>
    <x v="0"/>
    <x v="2"/>
    <n v="6"/>
    <n v="0"/>
    <n v="1"/>
    <s v="Long"/>
  </r>
  <r>
    <n v="1192"/>
    <n v="30"/>
    <x v="1"/>
    <x v="3"/>
    <d v="2023-07-11T00:00:00"/>
    <n v="5"/>
    <n v="3"/>
    <n v="5"/>
    <n v="74"/>
    <n v="130"/>
    <n v="3"/>
    <x v="0"/>
    <x v="1"/>
    <n v="8"/>
    <n v="0"/>
    <n v="0"/>
    <s v="Medium"/>
  </r>
  <r>
    <n v="1193"/>
    <n v="76"/>
    <x v="1"/>
    <x v="4"/>
    <d v="2023-07-12T00:00:00"/>
    <n v="11"/>
    <n v="2"/>
    <n v="3"/>
    <n v="237"/>
    <n v="164"/>
    <n v="3"/>
    <x v="0"/>
    <x v="0"/>
    <n v="5"/>
    <n v="1"/>
    <n v="1"/>
    <s v="Long"/>
  </r>
  <r>
    <n v="1194"/>
    <n v="69"/>
    <x v="0"/>
    <x v="4"/>
    <d v="2023-07-13T00:00:00"/>
    <n v="7"/>
    <n v="0"/>
    <n v="3"/>
    <n v="233"/>
    <n v="113"/>
    <n v="11"/>
    <x v="1"/>
    <x v="0"/>
    <n v="3"/>
    <n v="0"/>
    <n v="1"/>
    <s v="Medium"/>
  </r>
  <r>
    <n v="1195"/>
    <n v="42"/>
    <x v="0"/>
    <x v="3"/>
    <d v="2023-07-14T00:00:00"/>
    <n v="1"/>
    <n v="2"/>
    <n v="3"/>
    <n v="114"/>
    <n v="149"/>
    <n v="10"/>
    <x v="0"/>
    <x v="1"/>
    <n v="5"/>
    <n v="1"/>
    <n v="0"/>
    <s v="Short "/>
  </r>
  <r>
    <n v="1196"/>
    <n v="50"/>
    <x v="1"/>
    <x v="0"/>
    <d v="2023-07-15T00:00:00"/>
    <n v="14"/>
    <n v="4"/>
    <n v="1"/>
    <n v="220"/>
    <n v="135"/>
    <n v="5"/>
    <x v="0"/>
    <x v="3"/>
    <n v="5"/>
    <n v="0"/>
    <n v="1"/>
    <s v="Long"/>
  </r>
  <r>
    <n v="1197"/>
    <n v="61"/>
    <x v="0"/>
    <x v="2"/>
    <d v="2023-07-16T00:00:00"/>
    <n v="4"/>
    <n v="2"/>
    <n v="3"/>
    <n v="116"/>
    <n v="108"/>
    <n v="5"/>
    <x v="0"/>
    <x v="0"/>
    <n v="5"/>
    <n v="0"/>
    <n v="0"/>
    <s v="Medium"/>
  </r>
  <r>
    <n v="1198"/>
    <n v="26"/>
    <x v="0"/>
    <x v="4"/>
    <d v="2023-07-17T00:00:00"/>
    <n v="6"/>
    <n v="1"/>
    <n v="2"/>
    <n v="100"/>
    <n v="157"/>
    <n v="6"/>
    <x v="0"/>
    <x v="2"/>
    <n v="3"/>
    <n v="1"/>
    <n v="0"/>
    <s v="Medium"/>
  </r>
  <r>
    <n v="1199"/>
    <n v="35"/>
    <x v="0"/>
    <x v="1"/>
    <d v="2023-07-18T00:00:00"/>
    <n v="2"/>
    <n v="0"/>
    <n v="0"/>
    <n v="208"/>
    <n v="179"/>
    <n v="8"/>
    <x v="0"/>
    <x v="1"/>
    <n v="0"/>
    <n v="1"/>
    <n v="1"/>
    <s v="Short "/>
  </r>
  <r>
    <n v="1200"/>
    <n v="79"/>
    <x v="1"/>
    <x v="1"/>
    <d v="2023-07-19T00:00:00"/>
    <n v="10"/>
    <n v="1"/>
    <n v="3"/>
    <n v="79"/>
    <n v="131"/>
    <n v="10"/>
    <x v="0"/>
    <x v="0"/>
    <n v="4"/>
    <n v="0"/>
    <n v="0"/>
    <s v="Long"/>
  </r>
  <r>
    <n v="1201"/>
    <n v="21"/>
    <x v="1"/>
    <x v="3"/>
    <d v="2023-07-20T00:00:00"/>
    <n v="5"/>
    <n v="1"/>
    <n v="5"/>
    <n v="187"/>
    <n v="121"/>
    <n v="6"/>
    <x v="0"/>
    <x v="2"/>
    <n v="6"/>
    <n v="0"/>
    <n v="1"/>
    <s v="Medium"/>
  </r>
  <r>
    <n v="1202"/>
    <n v="20"/>
    <x v="0"/>
    <x v="0"/>
    <d v="2023-07-21T00:00:00"/>
    <n v="11"/>
    <n v="4"/>
    <n v="0"/>
    <n v="83"/>
    <n v="128"/>
    <n v="1"/>
    <x v="0"/>
    <x v="2"/>
    <n v="4"/>
    <n v="0"/>
    <n v="0"/>
    <s v="Long"/>
  </r>
  <r>
    <n v="1203"/>
    <n v="67"/>
    <x v="1"/>
    <x v="4"/>
    <d v="2023-07-22T00:00:00"/>
    <n v="10"/>
    <n v="0"/>
    <n v="1"/>
    <n v="149"/>
    <n v="125"/>
    <n v="8"/>
    <x v="0"/>
    <x v="0"/>
    <n v="1"/>
    <n v="0"/>
    <n v="0"/>
    <s v="Long"/>
  </r>
  <r>
    <n v="1204"/>
    <n v="31"/>
    <x v="1"/>
    <x v="0"/>
    <d v="2023-07-23T00:00:00"/>
    <n v="1"/>
    <n v="0"/>
    <n v="5"/>
    <n v="162"/>
    <n v="125"/>
    <n v="8"/>
    <x v="1"/>
    <x v="1"/>
    <n v="5"/>
    <n v="0"/>
    <n v="0"/>
    <s v="Short "/>
  </r>
  <r>
    <n v="1205"/>
    <n v="88"/>
    <x v="1"/>
    <x v="4"/>
    <d v="2023-07-24T00:00:00"/>
    <n v="6"/>
    <n v="0"/>
    <n v="0"/>
    <n v="79"/>
    <n v="92"/>
    <n v="9"/>
    <x v="0"/>
    <x v="0"/>
    <n v="0"/>
    <n v="0"/>
    <n v="0"/>
    <s v="Medium"/>
  </r>
  <r>
    <n v="1206"/>
    <n v="56"/>
    <x v="1"/>
    <x v="3"/>
    <d v="2023-07-25T00:00:00"/>
    <n v="6"/>
    <n v="0"/>
    <n v="5"/>
    <n v="145"/>
    <n v="162"/>
    <n v="9"/>
    <x v="0"/>
    <x v="3"/>
    <n v="5"/>
    <n v="1"/>
    <n v="0"/>
    <s v="Medium"/>
  </r>
  <r>
    <n v="1207"/>
    <n v="51"/>
    <x v="1"/>
    <x v="3"/>
    <d v="2023-07-26T00:00:00"/>
    <n v="13"/>
    <n v="0"/>
    <n v="1"/>
    <n v="163"/>
    <n v="97"/>
    <n v="2"/>
    <x v="0"/>
    <x v="3"/>
    <n v="1"/>
    <n v="0"/>
    <n v="0"/>
    <s v="Long"/>
  </r>
  <r>
    <n v="1208"/>
    <n v="28"/>
    <x v="0"/>
    <x v="1"/>
    <d v="2023-07-27T00:00:00"/>
    <n v="4"/>
    <n v="4"/>
    <n v="2"/>
    <n v="174"/>
    <n v="159"/>
    <n v="2"/>
    <x v="0"/>
    <x v="2"/>
    <n v="6"/>
    <n v="1"/>
    <n v="0"/>
    <s v="Medium"/>
  </r>
  <r>
    <n v="1209"/>
    <n v="38"/>
    <x v="0"/>
    <x v="0"/>
    <d v="2023-07-28T00:00:00"/>
    <n v="13"/>
    <n v="2"/>
    <n v="1"/>
    <n v="70"/>
    <n v="130"/>
    <n v="3"/>
    <x v="1"/>
    <x v="1"/>
    <n v="3"/>
    <n v="0"/>
    <n v="0"/>
    <s v="Long"/>
  </r>
  <r>
    <n v="1210"/>
    <n v="67"/>
    <x v="0"/>
    <x v="1"/>
    <d v="2023-07-29T00:00:00"/>
    <n v="8"/>
    <n v="1"/>
    <n v="1"/>
    <n v="202"/>
    <n v="157"/>
    <n v="1"/>
    <x v="0"/>
    <x v="0"/>
    <n v="2"/>
    <n v="1"/>
    <n v="1"/>
    <s v="Long"/>
  </r>
  <r>
    <n v="1211"/>
    <n v="22"/>
    <x v="1"/>
    <x v="0"/>
    <d v="2023-07-30T00:00:00"/>
    <n v="4"/>
    <n v="0"/>
    <n v="5"/>
    <n v="89"/>
    <n v="102"/>
    <n v="4"/>
    <x v="0"/>
    <x v="2"/>
    <n v="5"/>
    <n v="0"/>
    <n v="0"/>
    <s v="Medium"/>
  </r>
  <r>
    <n v="1212"/>
    <n v="39"/>
    <x v="1"/>
    <x v="1"/>
    <d v="2023-07-31T00:00:00"/>
    <n v="8"/>
    <n v="2"/>
    <n v="4"/>
    <n v="77"/>
    <n v="138"/>
    <n v="4"/>
    <x v="0"/>
    <x v="1"/>
    <n v="6"/>
    <n v="0"/>
    <n v="0"/>
    <s v="Long"/>
  </r>
  <r>
    <n v="1213"/>
    <n v="43"/>
    <x v="0"/>
    <x v="2"/>
    <d v="2023-08-01T00:00:00"/>
    <n v="13"/>
    <n v="2"/>
    <n v="3"/>
    <n v="240"/>
    <n v="149"/>
    <n v="9"/>
    <x v="0"/>
    <x v="1"/>
    <n v="5"/>
    <n v="1"/>
    <n v="1"/>
    <s v="Long"/>
  </r>
  <r>
    <n v="1214"/>
    <n v="73"/>
    <x v="1"/>
    <x v="2"/>
    <d v="2023-08-02T00:00:00"/>
    <n v="8"/>
    <n v="1"/>
    <n v="3"/>
    <n v="70"/>
    <n v="91"/>
    <n v="9"/>
    <x v="0"/>
    <x v="0"/>
    <n v="4"/>
    <n v="0"/>
    <n v="0"/>
    <s v="Long"/>
  </r>
  <r>
    <n v="1215"/>
    <n v="52"/>
    <x v="0"/>
    <x v="2"/>
    <d v="2023-08-03T00:00:00"/>
    <n v="5"/>
    <n v="4"/>
    <n v="2"/>
    <n v="126"/>
    <n v="149"/>
    <n v="9"/>
    <x v="0"/>
    <x v="3"/>
    <n v="6"/>
    <n v="1"/>
    <n v="0"/>
    <s v="Medium"/>
  </r>
  <r>
    <n v="1216"/>
    <n v="43"/>
    <x v="0"/>
    <x v="2"/>
    <d v="2023-08-04T00:00:00"/>
    <n v="13"/>
    <n v="3"/>
    <n v="2"/>
    <n v="133"/>
    <n v="94"/>
    <n v="10"/>
    <x v="1"/>
    <x v="1"/>
    <n v="5"/>
    <n v="0"/>
    <n v="0"/>
    <s v="Long"/>
  </r>
  <r>
    <n v="1217"/>
    <n v="55"/>
    <x v="0"/>
    <x v="4"/>
    <d v="2023-08-05T00:00:00"/>
    <n v="4"/>
    <n v="3"/>
    <n v="3"/>
    <n v="187"/>
    <n v="133"/>
    <n v="7"/>
    <x v="0"/>
    <x v="3"/>
    <n v="6"/>
    <n v="0"/>
    <n v="1"/>
    <s v="Medium"/>
  </r>
  <r>
    <n v="1218"/>
    <n v="57"/>
    <x v="1"/>
    <x v="2"/>
    <d v="2023-08-06T00:00:00"/>
    <n v="12"/>
    <n v="2"/>
    <n v="4"/>
    <n v="97"/>
    <n v="116"/>
    <n v="2"/>
    <x v="0"/>
    <x v="3"/>
    <n v="6"/>
    <n v="0"/>
    <n v="0"/>
    <s v="Long"/>
  </r>
  <r>
    <n v="1219"/>
    <n v="44"/>
    <x v="1"/>
    <x v="3"/>
    <d v="2023-08-07T00:00:00"/>
    <n v="13"/>
    <n v="1"/>
    <n v="3"/>
    <n v="190"/>
    <n v="121"/>
    <n v="10"/>
    <x v="0"/>
    <x v="1"/>
    <n v="4"/>
    <n v="0"/>
    <n v="1"/>
    <s v="Long"/>
  </r>
  <r>
    <n v="1220"/>
    <n v="37"/>
    <x v="0"/>
    <x v="3"/>
    <d v="2023-08-08T00:00:00"/>
    <n v="2"/>
    <n v="3"/>
    <n v="4"/>
    <n v="176"/>
    <n v="110"/>
    <n v="5"/>
    <x v="0"/>
    <x v="1"/>
    <n v="7"/>
    <n v="0"/>
    <n v="0"/>
    <s v="Short "/>
  </r>
  <r>
    <n v="1221"/>
    <n v="85"/>
    <x v="0"/>
    <x v="4"/>
    <d v="2023-08-09T00:00:00"/>
    <n v="11"/>
    <n v="2"/>
    <n v="2"/>
    <n v="234"/>
    <n v="97"/>
    <n v="4"/>
    <x v="0"/>
    <x v="0"/>
    <n v="4"/>
    <n v="0"/>
    <n v="1"/>
    <s v="Long"/>
  </r>
  <r>
    <n v="1222"/>
    <n v="73"/>
    <x v="0"/>
    <x v="2"/>
    <d v="2023-08-10T00:00:00"/>
    <n v="3"/>
    <n v="4"/>
    <n v="0"/>
    <n v="244"/>
    <n v="161"/>
    <n v="11"/>
    <x v="1"/>
    <x v="0"/>
    <n v="4"/>
    <n v="1"/>
    <n v="1"/>
    <s v="Short "/>
  </r>
  <r>
    <n v="1223"/>
    <n v="54"/>
    <x v="0"/>
    <x v="2"/>
    <d v="2023-08-11T00:00:00"/>
    <n v="3"/>
    <n v="3"/>
    <n v="5"/>
    <n v="234"/>
    <n v="139"/>
    <n v="8"/>
    <x v="1"/>
    <x v="3"/>
    <n v="8"/>
    <n v="0"/>
    <n v="1"/>
    <s v="Short "/>
  </r>
  <r>
    <n v="1224"/>
    <n v="80"/>
    <x v="1"/>
    <x v="2"/>
    <d v="2023-08-12T00:00:00"/>
    <n v="4"/>
    <n v="2"/>
    <n v="2"/>
    <n v="118"/>
    <n v="156"/>
    <n v="2"/>
    <x v="0"/>
    <x v="0"/>
    <n v="4"/>
    <n v="1"/>
    <n v="0"/>
    <s v="Medium"/>
  </r>
  <r>
    <n v="1225"/>
    <n v="60"/>
    <x v="1"/>
    <x v="1"/>
    <d v="2023-08-13T00:00:00"/>
    <n v="4"/>
    <n v="2"/>
    <n v="2"/>
    <n v="189"/>
    <n v="133"/>
    <n v="6"/>
    <x v="1"/>
    <x v="0"/>
    <n v="4"/>
    <n v="0"/>
    <n v="1"/>
    <s v="Medium"/>
  </r>
  <r>
    <n v="1226"/>
    <n v="52"/>
    <x v="0"/>
    <x v="0"/>
    <d v="2023-08-14T00:00:00"/>
    <n v="10"/>
    <n v="0"/>
    <n v="1"/>
    <n v="113"/>
    <n v="147"/>
    <n v="5"/>
    <x v="1"/>
    <x v="3"/>
    <n v="1"/>
    <n v="1"/>
    <n v="0"/>
    <s v="Long"/>
  </r>
  <r>
    <n v="1227"/>
    <n v="87"/>
    <x v="0"/>
    <x v="1"/>
    <d v="2023-08-15T00:00:00"/>
    <n v="11"/>
    <n v="4"/>
    <n v="1"/>
    <n v="125"/>
    <n v="92"/>
    <n v="2"/>
    <x v="1"/>
    <x v="0"/>
    <n v="5"/>
    <n v="0"/>
    <n v="0"/>
    <s v="Long"/>
  </r>
  <r>
    <n v="1228"/>
    <n v="52"/>
    <x v="1"/>
    <x v="0"/>
    <d v="2023-08-16T00:00:00"/>
    <n v="11"/>
    <n v="0"/>
    <n v="1"/>
    <n v="225"/>
    <n v="175"/>
    <n v="11"/>
    <x v="0"/>
    <x v="3"/>
    <n v="1"/>
    <n v="1"/>
    <n v="1"/>
    <s v="Long"/>
  </r>
  <r>
    <n v="1229"/>
    <n v="33"/>
    <x v="1"/>
    <x v="2"/>
    <d v="2023-08-17T00:00:00"/>
    <n v="5"/>
    <n v="1"/>
    <n v="5"/>
    <n v="180"/>
    <n v="159"/>
    <n v="10"/>
    <x v="1"/>
    <x v="1"/>
    <n v="6"/>
    <n v="1"/>
    <n v="1"/>
    <s v="Medium"/>
  </r>
  <r>
    <n v="1230"/>
    <n v="40"/>
    <x v="0"/>
    <x v="2"/>
    <d v="2023-08-18T00:00:00"/>
    <n v="4"/>
    <n v="0"/>
    <n v="1"/>
    <n v="203"/>
    <n v="91"/>
    <n v="1"/>
    <x v="0"/>
    <x v="1"/>
    <n v="1"/>
    <n v="0"/>
    <n v="1"/>
    <s v="Medium"/>
  </r>
  <r>
    <n v="1231"/>
    <n v="67"/>
    <x v="0"/>
    <x v="1"/>
    <d v="2023-08-19T00:00:00"/>
    <n v="11"/>
    <n v="0"/>
    <n v="4"/>
    <n v="177"/>
    <n v="176"/>
    <n v="8"/>
    <x v="1"/>
    <x v="0"/>
    <n v="4"/>
    <n v="1"/>
    <n v="0"/>
    <s v="Long"/>
  </r>
  <r>
    <n v="1232"/>
    <n v="39"/>
    <x v="0"/>
    <x v="1"/>
    <d v="2023-08-20T00:00:00"/>
    <n v="14"/>
    <n v="3"/>
    <n v="3"/>
    <n v="217"/>
    <n v="133"/>
    <n v="2"/>
    <x v="0"/>
    <x v="1"/>
    <n v="6"/>
    <n v="0"/>
    <n v="1"/>
    <s v="Long"/>
  </r>
  <r>
    <n v="1233"/>
    <n v="27"/>
    <x v="1"/>
    <x v="0"/>
    <d v="2023-08-21T00:00:00"/>
    <n v="10"/>
    <n v="2"/>
    <n v="0"/>
    <n v="183"/>
    <n v="91"/>
    <n v="7"/>
    <x v="0"/>
    <x v="2"/>
    <n v="2"/>
    <n v="0"/>
    <n v="1"/>
    <s v="Long"/>
  </r>
  <r>
    <n v="1234"/>
    <n v="26"/>
    <x v="1"/>
    <x v="3"/>
    <d v="2023-08-22T00:00:00"/>
    <n v="8"/>
    <n v="4"/>
    <n v="2"/>
    <n v="147"/>
    <n v="170"/>
    <n v="9"/>
    <x v="1"/>
    <x v="2"/>
    <n v="6"/>
    <n v="1"/>
    <n v="0"/>
    <s v="Long"/>
  </r>
  <r>
    <n v="1235"/>
    <n v="86"/>
    <x v="1"/>
    <x v="0"/>
    <d v="2023-08-23T00:00:00"/>
    <n v="6"/>
    <n v="0"/>
    <n v="4"/>
    <n v="199"/>
    <n v="124"/>
    <n v="9"/>
    <x v="0"/>
    <x v="0"/>
    <n v="4"/>
    <n v="0"/>
    <n v="1"/>
    <s v="Medium"/>
  </r>
  <r>
    <n v="1236"/>
    <n v="36"/>
    <x v="0"/>
    <x v="1"/>
    <d v="2023-08-24T00:00:00"/>
    <n v="6"/>
    <n v="4"/>
    <n v="0"/>
    <n v="106"/>
    <n v="176"/>
    <n v="8"/>
    <x v="1"/>
    <x v="1"/>
    <n v="4"/>
    <n v="1"/>
    <n v="0"/>
    <s v="Medium"/>
  </r>
  <r>
    <n v="1237"/>
    <n v="52"/>
    <x v="0"/>
    <x v="1"/>
    <d v="2023-08-25T00:00:00"/>
    <n v="8"/>
    <n v="0"/>
    <n v="4"/>
    <n v="89"/>
    <n v="119"/>
    <n v="11"/>
    <x v="1"/>
    <x v="3"/>
    <n v="4"/>
    <n v="0"/>
    <n v="0"/>
    <s v="Long"/>
  </r>
  <r>
    <n v="1238"/>
    <n v="67"/>
    <x v="1"/>
    <x v="4"/>
    <d v="2023-08-26T00:00:00"/>
    <n v="7"/>
    <n v="1"/>
    <n v="4"/>
    <n v="95"/>
    <n v="97"/>
    <n v="10"/>
    <x v="0"/>
    <x v="0"/>
    <n v="5"/>
    <n v="0"/>
    <n v="0"/>
    <s v="Medium"/>
  </r>
  <r>
    <n v="1239"/>
    <n v="78"/>
    <x v="1"/>
    <x v="1"/>
    <d v="2023-08-27T00:00:00"/>
    <n v="10"/>
    <n v="0"/>
    <n v="2"/>
    <n v="98"/>
    <n v="111"/>
    <n v="9"/>
    <x v="0"/>
    <x v="0"/>
    <n v="2"/>
    <n v="0"/>
    <n v="0"/>
    <s v="Long"/>
  </r>
  <r>
    <n v="1240"/>
    <n v="41"/>
    <x v="0"/>
    <x v="4"/>
    <d v="2023-08-28T00:00:00"/>
    <n v="14"/>
    <n v="3"/>
    <n v="3"/>
    <n v="70"/>
    <n v="133"/>
    <n v="2"/>
    <x v="0"/>
    <x v="1"/>
    <n v="6"/>
    <n v="0"/>
    <n v="0"/>
    <s v="Long"/>
  </r>
  <r>
    <n v="1241"/>
    <n v="49"/>
    <x v="1"/>
    <x v="3"/>
    <d v="2023-08-29T00:00:00"/>
    <n v="11"/>
    <n v="2"/>
    <n v="1"/>
    <n v="188"/>
    <n v="147"/>
    <n v="6"/>
    <x v="0"/>
    <x v="3"/>
    <n v="3"/>
    <n v="1"/>
    <n v="1"/>
    <s v="Long"/>
  </r>
  <r>
    <n v="1242"/>
    <n v="57"/>
    <x v="1"/>
    <x v="0"/>
    <d v="2023-08-30T00:00:00"/>
    <n v="12"/>
    <n v="1"/>
    <n v="5"/>
    <n v="104"/>
    <n v="125"/>
    <n v="4"/>
    <x v="0"/>
    <x v="3"/>
    <n v="6"/>
    <n v="0"/>
    <n v="0"/>
    <s v="Long"/>
  </r>
  <r>
    <n v="1243"/>
    <n v="70"/>
    <x v="0"/>
    <x v="0"/>
    <d v="2023-08-31T00:00:00"/>
    <n v="10"/>
    <n v="0"/>
    <n v="3"/>
    <n v="128"/>
    <n v="158"/>
    <n v="4"/>
    <x v="1"/>
    <x v="0"/>
    <n v="3"/>
    <n v="1"/>
    <n v="0"/>
    <s v="Long"/>
  </r>
  <r>
    <n v="1244"/>
    <n v="73"/>
    <x v="1"/>
    <x v="4"/>
    <d v="2023-09-01T00:00:00"/>
    <n v="13"/>
    <n v="4"/>
    <n v="5"/>
    <n v="138"/>
    <n v="166"/>
    <n v="5"/>
    <x v="0"/>
    <x v="0"/>
    <n v="9"/>
    <n v="1"/>
    <n v="0"/>
    <s v="Long"/>
  </r>
  <r>
    <n v="1245"/>
    <n v="27"/>
    <x v="0"/>
    <x v="0"/>
    <d v="2023-09-02T00:00:00"/>
    <n v="8"/>
    <n v="1"/>
    <n v="2"/>
    <n v="230"/>
    <n v="120"/>
    <n v="3"/>
    <x v="0"/>
    <x v="2"/>
    <n v="3"/>
    <n v="0"/>
    <n v="1"/>
    <s v="Long"/>
  </r>
  <r>
    <n v="1246"/>
    <n v="46"/>
    <x v="0"/>
    <x v="1"/>
    <d v="2023-09-03T00:00:00"/>
    <n v="14"/>
    <n v="1"/>
    <n v="2"/>
    <n v="248"/>
    <n v="136"/>
    <n v="1"/>
    <x v="1"/>
    <x v="3"/>
    <n v="3"/>
    <n v="0"/>
    <n v="1"/>
    <s v="Long"/>
  </r>
  <r>
    <n v="1247"/>
    <n v="46"/>
    <x v="0"/>
    <x v="2"/>
    <d v="2023-09-04T00:00:00"/>
    <n v="2"/>
    <n v="0"/>
    <n v="2"/>
    <n v="81"/>
    <n v="144"/>
    <n v="8"/>
    <x v="0"/>
    <x v="3"/>
    <n v="2"/>
    <n v="1"/>
    <n v="0"/>
    <s v="Short "/>
  </r>
  <r>
    <n v="1248"/>
    <n v="40"/>
    <x v="0"/>
    <x v="4"/>
    <d v="2023-09-05T00:00:00"/>
    <n v="9"/>
    <n v="1"/>
    <n v="0"/>
    <n v="89"/>
    <n v="169"/>
    <n v="5"/>
    <x v="0"/>
    <x v="1"/>
    <n v="1"/>
    <n v="1"/>
    <n v="0"/>
    <s v="Long"/>
  </r>
  <r>
    <n v="1249"/>
    <n v="49"/>
    <x v="0"/>
    <x v="0"/>
    <d v="2023-09-06T00:00:00"/>
    <n v="1"/>
    <n v="4"/>
    <n v="5"/>
    <n v="112"/>
    <n v="151"/>
    <n v="3"/>
    <x v="1"/>
    <x v="3"/>
    <n v="9"/>
    <n v="1"/>
    <n v="0"/>
    <s v="Short "/>
  </r>
  <r>
    <n v="1250"/>
    <n v="47"/>
    <x v="0"/>
    <x v="4"/>
    <d v="2023-09-07T00:00:00"/>
    <n v="8"/>
    <n v="1"/>
    <n v="3"/>
    <n v="195"/>
    <n v="119"/>
    <n v="10"/>
    <x v="0"/>
    <x v="3"/>
    <n v="4"/>
    <n v="0"/>
    <n v="1"/>
    <s v="Long"/>
  </r>
  <r>
    <n v="1251"/>
    <n v="83"/>
    <x v="0"/>
    <x v="4"/>
    <d v="2023-09-08T00:00:00"/>
    <n v="12"/>
    <n v="4"/>
    <n v="3"/>
    <n v="119"/>
    <n v="144"/>
    <n v="7"/>
    <x v="1"/>
    <x v="0"/>
    <n v="7"/>
    <n v="1"/>
    <n v="0"/>
    <s v="Long"/>
  </r>
  <r>
    <n v="1252"/>
    <n v="88"/>
    <x v="1"/>
    <x v="2"/>
    <d v="2023-09-09T00:00:00"/>
    <n v="11"/>
    <n v="0"/>
    <n v="4"/>
    <n v="98"/>
    <n v="105"/>
    <n v="7"/>
    <x v="1"/>
    <x v="0"/>
    <n v="4"/>
    <n v="0"/>
    <n v="0"/>
    <s v="Long"/>
  </r>
  <r>
    <n v="1253"/>
    <n v="80"/>
    <x v="0"/>
    <x v="1"/>
    <d v="2023-09-10T00:00:00"/>
    <n v="12"/>
    <n v="2"/>
    <n v="4"/>
    <n v="108"/>
    <n v="101"/>
    <n v="1"/>
    <x v="1"/>
    <x v="0"/>
    <n v="6"/>
    <n v="0"/>
    <n v="0"/>
    <s v="Long"/>
  </r>
  <r>
    <n v="1254"/>
    <n v="67"/>
    <x v="0"/>
    <x v="4"/>
    <d v="2023-09-11T00:00:00"/>
    <n v="12"/>
    <n v="1"/>
    <n v="4"/>
    <n v="240"/>
    <n v="106"/>
    <n v="9"/>
    <x v="0"/>
    <x v="0"/>
    <n v="5"/>
    <n v="0"/>
    <n v="1"/>
    <s v="Long"/>
  </r>
  <r>
    <n v="1255"/>
    <n v="38"/>
    <x v="1"/>
    <x v="0"/>
    <d v="2023-09-12T00:00:00"/>
    <n v="4"/>
    <n v="2"/>
    <n v="2"/>
    <n v="247"/>
    <n v="105"/>
    <n v="2"/>
    <x v="0"/>
    <x v="1"/>
    <n v="4"/>
    <n v="0"/>
    <n v="1"/>
    <s v="Medium"/>
  </r>
  <r>
    <n v="1256"/>
    <n v="23"/>
    <x v="1"/>
    <x v="3"/>
    <d v="2023-09-13T00:00:00"/>
    <n v="4"/>
    <n v="4"/>
    <n v="3"/>
    <n v="220"/>
    <n v="101"/>
    <n v="5"/>
    <x v="0"/>
    <x v="2"/>
    <n v="7"/>
    <n v="0"/>
    <n v="1"/>
    <s v="Medium"/>
  </r>
  <r>
    <n v="1257"/>
    <n v="54"/>
    <x v="1"/>
    <x v="4"/>
    <d v="2023-09-14T00:00:00"/>
    <n v="5"/>
    <n v="1"/>
    <n v="5"/>
    <n v="241"/>
    <n v="97"/>
    <n v="5"/>
    <x v="1"/>
    <x v="3"/>
    <n v="6"/>
    <n v="0"/>
    <n v="1"/>
    <s v="Medium"/>
  </r>
  <r>
    <n v="1258"/>
    <n v="83"/>
    <x v="0"/>
    <x v="4"/>
    <d v="2023-09-15T00:00:00"/>
    <n v="8"/>
    <n v="3"/>
    <n v="2"/>
    <n v="107"/>
    <n v="173"/>
    <n v="8"/>
    <x v="1"/>
    <x v="0"/>
    <n v="5"/>
    <n v="1"/>
    <n v="0"/>
    <s v="Long"/>
  </r>
  <r>
    <n v="1259"/>
    <n v="68"/>
    <x v="1"/>
    <x v="2"/>
    <d v="2023-09-16T00:00:00"/>
    <n v="5"/>
    <n v="2"/>
    <n v="0"/>
    <n v="153"/>
    <n v="92"/>
    <n v="8"/>
    <x v="0"/>
    <x v="0"/>
    <n v="2"/>
    <n v="0"/>
    <n v="0"/>
    <s v="Medium"/>
  </r>
  <r>
    <n v="1260"/>
    <n v="36"/>
    <x v="0"/>
    <x v="1"/>
    <d v="2023-09-17T00:00:00"/>
    <n v="8"/>
    <n v="1"/>
    <n v="4"/>
    <n v="220"/>
    <n v="105"/>
    <n v="7"/>
    <x v="0"/>
    <x v="1"/>
    <n v="5"/>
    <n v="0"/>
    <n v="1"/>
    <s v="Long"/>
  </r>
  <r>
    <n v="1261"/>
    <n v="63"/>
    <x v="0"/>
    <x v="3"/>
    <d v="2023-09-18T00:00:00"/>
    <n v="10"/>
    <n v="2"/>
    <n v="2"/>
    <n v="197"/>
    <n v="119"/>
    <n v="7"/>
    <x v="0"/>
    <x v="0"/>
    <n v="4"/>
    <n v="0"/>
    <n v="1"/>
    <s v="Long"/>
  </r>
  <r>
    <n v="1262"/>
    <n v="49"/>
    <x v="0"/>
    <x v="0"/>
    <d v="2023-09-19T00:00:00"/>
    <n v="1"/>
    <n v="1"/>
    <n v="2"/>
    <n v="195"/>
    <n v="112"/>
    <n v="11"/>
    <x v="0"/>
    <x v="3"/>
    <n v="3"/>
    <n v="0"/>
    <n v="1"/>
    <s v="Short "/>
  </r>
  <r>
    <n v="1263"/>
    <n v="65"/>
    <x v="0"/>
    <x v="3"/>
    <d v="2023-09-20T00:00:00"/>
    <n v="12"/>
    <n v="0"/>
    <n v="0"/>
    <n v="114"/>
    <n v="94"/>
    <n v="6"/>
    <x v="1"/>
    <x v="0"/>
    <n v="0"/>
    <n v="0"/>
    <n v="0"/>
    <s v="Long"/>
  </r>
  <r>
    <n v="1264"/>
    <n v="25"/>
    <x v="1"/>
    <x v="0"/>
    <d v="2023-09-21T00:00:00"/>
    <n v="10"/>
    <n v="2"/>
    <n v="1"/>
    <n v="121"/>
    <n v="173"/>
    <n v="6"/>
    <x v="0"/>
    <x v="2"/>
    <n v="3"/>
    <n v="1"/>
    <n v="0"/>
    <s v="Long"/>
  </r>
  <r>
    <n v="1265"/>
    <n v="56"/>
    <x v="1"/>
    <x v="1"/>
    <d v="2023-09-22T00:00:00"/>
    <n v="9"/>
    <n v="3"/>
    <n v="3"/>
    <n v="149"/>
    <n v="154"/>
    <n v="11"/>
    <x v="1"/>
    <x v="3"/>
    <n v="6"/>
    <n v="1"/>
    <n v="0"/>
    <s v="Long"/>
  </r>
  <r>
    <n v="1266"/>
    <n v="43"/>
    <x v="0"/>
    <x v="0"/>
    <d v="2023-09-23T00:00:00"/>
    <n v="6"/>
    <n v="3"/>
    <n v="5"/>
    <n v="247"/>
    <n v="119"/>
    <n v="9"/>
    <x v="1"/>
    <x v="1"/>
    <n v="8"/>
    <n v="0"/>
    <n v="1"/>
    <s v="Medium"/>
  </r>
  <r>
    <n v="1267"/>
    <n v="65"/>
    <x v="0"/>
    <x v="2"/>
    <d v="2023-09-24T00:00:00"/>
    <n v="3"/>
    <n v="4"/>
    <n v="1"/>
    <n v="193"/>
    <n v="110"/>
    <n v="6"/>
    <x v="0"/>
    <x v="0"/>
    <n v="5"/>
    <n v="0"/>
    <n v="1"/>
    <s v="Short "/>
  </r>
  <r>
    <n v="1268"/>
    <n v="72"/>
    <x v="0"/>
    <x v="2"/>
    <d v="2023-09-25T00:00:00"/>
    <n v="13"/>
    <n v="1"/>
    <n v="4"/>
    <n v="188"/>
    <n v="173"/>
    <n v="2"/>
    <x v="0"/>
    <x v="0"/>
    <n v="5"/>
    <n v="1"/>
    <n v="1"/>
    <s v="Long"/>
  </r>
  <r>
    <n v="1269"/>
    <n v="79"/>
    <x v="1"/>
    <x v="2"/>
    <d v="2023-09-26T00:00:00"/>
    <n v="14"/>
    <n v="2"/>
    <n v="2"/>
    <n v="77"/>
    <n v="159"/>
    <n v="2"/>
    <x v="0"/>
    <x v="0"/>
    <n v="4"/>
    <n v="1"/>
    <n v="0"/>
    <s v="Long"/>
  </r>
  <r>
    <n v="1270"/>
    <n v="82"/>
    <x v="0"/>
    <x v="2"/>
    <d v="2023-09-27T00:00:00"/>
    <n v="8"/>
    <n v="4"/>
    <n v="0"/>
    <n v="154"/>
    <n v="111"/>
    <n v="5"/>
    <x v="0"/>
    <x v="0"/>
    <n v="4"/>
    <n v="0"/>
    <n v="0"/>
    <s v="Long"/>
  </r>
  <r>
    <n v="1271"/>
    <n v="51"/>
    <x v="0"/>
    <x v="3"/>
    <d v="2023-09-28T00:00:00"/>
    <n v="9"/>
    <n v="2"/>
    <n v="0"/>
    <n v="198"/>
    <n v="171"/>
    <n v="4"/>
    <x v="1"/>
    <x v="3"/>
    <n v="2"/>
    <n v="1"/>
    <n v="1"/>
    <s v="Long"/>
  </r>
  <r>
    <n v="1272"/>
    <n v="52"/>
    <x v="1"/>
    <x v="1"/>
    <d v="2023-09-29T00:00:00"/>
    <n v="6"/>
    <n v="1"/>
    <n v="3"/>
    <n v="77"/>
    <n v="161"/>
    <n v="11"/>
    <x v="1"/>
    <x v="3"/>
    <n v="4"/>
    <n v="1"/>
    <n v="0"/>
    <s v="Medium"/>
  </r>
  <r>
    <n v="1273"/>
    <n v="86"/>
    <x v="1"/>
    <x v="0"/>
    <d v="2023-09-30T00:00:00"/>
    <n v="11"/>
    <n v="3"/>
    <n v="1"/>
    <n v="226"/>
    <n v="121"/>
    <n v="2"/>
    <x v="1"/>
    <x v="0"/>
    <n v="4"/>
    <n v="0"/>
    <n v="1"/>
    <s v="Long"/>
  </r>
  <r>
    <n v="1274"/>
    <n v="37"/>
    <x v="0"/>
    <x v="0"/>
    <d v="2023-10-01T00:00:00"/>
    <n v="7"/>
    <n v="0"/>
    <n v="3"/>
    <n v="165"/>
    <n v="122"/>
    <n v="3"/>
    <x v="0"/>
    <x v="1"/>
    <n v="3"/>
    <n v="0"/>
    <n v="0"/>
    <s v="Medium"/>
  </r>
  <r>
    <n v="1275"/>
    <n v="44"/>
    <x v="1"/>
    <x v="2"/>
    <d v="2023-10-02T00:00:00"/>
    <n v="1"/>
    <n v="3"/>
    <n v="2"/>
    <n v="171"/>
    <n v="105"/>
    <n v="7"/>
    <x v="0"/>
    <x v="1"/>
    <n v="5"/>
    <n v="0"/>
    <n v="0"/>
    <s v="Short "/>
  </r>
  <r>
    <n v="1276"/>
    <n v="73"/>
    <x v="1"/>
    <x v="2"/>
    <d v="2023-10-03T00:00:00"/>
    <n v="14"/>
    <n v="4"/>
    <n v="3"/>
    <n v="74"/>
    <n v="165"/>
    <n v="8"/>
    <x v="1"/>
    <x v="0"/>
    <n v="7"/>
    <n v="1"/>
    <n v="0"/>
    <s v="Long"/>
  </r>
  <r>
    <n v="1277"/>
    <n v="77"/>
    <x v="0"/>
    <x v="4"/>
    <d v="2023-10-04T00:00:00"/>
    <n v="5"/>
    <n v="0"/>
    <n v="5"/>
    <n v="155"/>
    <n v="127"/>
    <n v="6"/>
    <x v="0"/>
    <x v="0"/>
    <n v="5"/>
    <n v="0"/>
    <n v="0"/>
    <s v="Medium"/>
  </r>
  <r>
    <n v="1278"/>
    <n v="86"/>
    <x v="1"/>
    <x v="1"/>
    <d v="2023-10-05T00:00:00"/>
    <n v="5"/>
    <n v="4"/>
    <n v="0"/>
    <n v="244"/>
    <n v="103"/>
    <n v="11"/>
    <x v="0"/>
    <x v="0"/>
    <n v="4"/>
    <n v="0"/>
    <n v="1"/>
    <s v="Medium"/>
  </r>
  <r>
    <n v="1279"/>
    <n v="65"/>
    <x v="0"/>
    <x v="3"/>
    <d v="2023-10-06T00:00:00"/>
    <n v="10"/>
    <n v="1"/>
    <n v="0"/>
    <n v="103"/>
    <n v="125"/>
    <n v="5"/>
    <x v="0"/>
    <x v="0"/>
    <n v="1"/>
    <n v="0"/>
    <n v="0"/>
    <s v="Long"/>
  </r>
  <r>
    <n v="1280"/>
    <n v="43"/>
    <x v="1"/>
    <x v="0"/>
    <d v="2023-10-07T00:00:00"/>
    <n v="14"/>
    <n v="0"/>
    <n v="4"/>
    <n v="124"/>
    <n v="112"/>
    <n v="1"/>
    <x v="0"/>
    <x v="1"/>
    <n v="4"/>
    <n v="0"/>
    <n v="0"/>
    <s v="Long"/>
  </r>
  <r>
    <n v="1281"/>
    <n v="51"/>
    <x v="0"/>
    <x v="4"/>
    <d v="2023-10-08T00:00:00"/>
    <n v="4"/>
    <n v="4"/>
    <n v="4"/>
    <n v="188"/>
    <n v="155"/>
    <n v="8"/>
    <x v="0"/>
    <x v="3"/>
    <n v="8"/>
    <n v="1"/>
    <n v="1"/>
    <s v="Medium"/>
  </r>
  <r>
    <n v="1282"/>
    <n v="66"/>
    <x v="0"/>
    <x v="4"/>
    <d v="2023-10-09T00:00:00"/>
    <n v="6"/>
    <n v="1"/>
    <n v="2"/>
    <n v="240"/>
    <n v="174"/>
    <n v="3"/>
    <x v="0"/>
    <x v="0"/>
    <n v="3"/>
    <n v="1"/>
    <n v="1"/>
    <s v="Medium"/>
  </r>
  <r>
    <n v="1283"/>
    <n v="42"/>
    <x v="0"/>
    <x v="0"/>
    <d v="2023-10-10T00:00:00"/>
    <n v="7"/>
    <n v="3"/>
    <n v="5"/>
    <n v="227"/>
    <n v="91"/>
    <n v="6"/>
    <x v="1"/>
    <x v="1"/>
    <n v="8"/>
    <n v="0"/>
    <n v="1"/>
    <s v="Medium"/>
  </r>
  <r>
    <n v="1284"/>
    <n v="85"/>
    <x v="1"/>
    <x v="3"/>
    <d v="2023-10-11T00:00:00"/>
    <n v="9"/>
    <n v="1"/>
    <n v="1"/>
    <n v="183"/>
    <n v="162"/>
    <n v="3"/>
    <x v="0"/>
    <x v="0"/>
    <n v="2"/>
    <n v="1"/>
    <n v="1"/>
    <s v="Long"/>
  </r>
  <r>
    <n v="1285"/>
    <n v="46"/>
    <x v="0"/>
    <x v="4"/>
    <d v="2023-10-12T00:00:00"/>
    <n v="1"/>
    <n v="2"/>
    <n v="3"/>
    <n v="214"/>
    <n v="154"/>
    <n v="7"/>
    <x v="0"/>
    <x v="3"/>
    <n v="5"/>
    <n v="1"/>
    <n v="1"/>
    <s v="Short "/>
  </r>
  <r>
    <n v="1286"/>
    <n v="21"/>
    <x v="1"/>
    <x v="4"/>
    <d v="2023-10-13T00:00:00"/>
    <n v="6"/>
    <n v="1"/>
    <n v="2"/>
    <n v="95"/>
    <n v="164"/>
    <n v="7"/>
    <x v="0"/>
    <x v="2"/>
    <n v="3"/>
    <n v="1"/>
    <n v="0"/>
    <s v="Medium"/>
  </r>
  <r>
    <n v="1287"/>
    <n v="36"/>
    <x v="0"/>
    <x v="1"/>
    <d v="2023-10-14T00:00:00"/>
    <n v="7"/>
    <n v="1"/>
    <n v="4"/>
    <n v="205"/>
    <n v="156"/>
    <n v="9"/>
    <x v="1"/>
    <x v="1"/>
    <n v="5"/>
    <n v="1"/>
    <n v="1"/>
    <s v="Medium"/>
  </r>
  <r>
    <n v="1288"/>
    <n v="52"/>
    <x v="0"/>
    <x v="3"/>
    <d v="2023-10-15T00:00:00"/>
    <n v="3"/>
    <n v="2"/>
    <n v="3"/>
    <n v="116"/>
    <n v="141"/>
    <n v="5"/>
    <x v="0"/>
    <x v="3"/>
    <n v="5"/>
    <n v="1"/>
    <n v="0"/>
    <s v="Short "/>
  </r>
  <r>
    <n v="1289"/>
    <n v="28"/>
    <x v="1"/>
    <x v="4"/>
    <d v="2023-10-16T00:00:00"/>
    <n v="8"/>
    <n v="4"/>
    <n v="4"/>
    <n v="182"/>
    <n v="151"/>
    <n v="8"/>
    <x v="0"/>
    <x v="2"/>
    <n v="8"/>
    <n v="1"/>
    <n v="1"/>
    <s v="Long"/>
  </r>
  <r>
    <n v="1290"/>
    <n v="62"/>
    <x v="0"/>
    <x v="3"/>
    <d v="2023-10-17T00:00:00"/>
    <n v="5"/>
    <n v="4"/>
    <n v="3"/>
    <n v="145"/>
    <n v="112"/>
    <n v="10"/>
    <x v="0"/>
    <x v="0"/>
    <n v="7"/>
    <n v="0"/>
    <n v="0"/>
    <s v="Medium"/>
  </r>
  <r>
    <n v="1291"/>
    <n v="67"/>
    <x v="0"/>
    <x v="0"/>
    <d v="2023-10-18T00:00:00"/>
    <n v="9"/>
    <n v="1"/>
    <n v="1"/>
    <n v="141"/>
    <n v="115"/>
    <n v="10"/>
    <x v="1"/>
    <x v="0"/>
    <n v="2"/>
    <n v="0"/>
    <n v="0"/>
    <s v="Long"/>
  </r>
  <r>
    <n v="1292"/>
    <n v="58"/>
    <x v="1"/>
    <x v="2"/>
    <d v="2023-10-19T00:00:00"/>
    <n v="5"/>
    <n v="2"/>
    <n v="2"/>
    <n v="158"/>
    <n v="157"/>
    <n v="8"/>
    <x v="0"/>
    <x v="3"/>
    <n v="4"/>
    <n v="1"/>
    <n v="0"/>
    <s v="Medium"/>
  </r>
  <r>
    <n v="1293"/>
    <n v="61"/>
    <x v="0"/>
    <x v="4"/>
    <d v="2023-10-20T00:00:00"/>
    <n v="9"/>
    <n v="2"/>
    <n v="3"/>
    <n v="115"/>
    <n v="171"/>
    <n v="1"/>
    <x v="1"/>
    <x v="0"/>
    <n v="5"/>
    <n v="1"/>
    <n v="0"/>
    <s v="Long"/>
  </r>
  <r>
    <n v="1294"/>
    <n v="45"/>
    <x v="0"/>
    <x v="1"/>
    <d v="2023-10-21T00:00:00"/>
    <n v="10"/>
    <n v="3"/>
    <n v="5"/>
    <n v="102"/>
    <n v="144"/>
    <n v="5"/>
    <x v="1"/>
    <x v="3"/>
    <n v="8"/>
    <n v="1"/>
    <n v="0"/>
    <s v="Long"/>
  </r>
  <r>
    <n v="1295"/>
    <n v="69"/>
    <x v="0"/>
    <x v="0"/>
    <d v="2023-10-22T00:00:00"/>
    <n v="4"/>
    <n v="4"/>
    <n v="0"/>
    <n v="70"/>
    <n v="95"/>
    <n v="3"/>
    <x v="0"/>
    <x v="0"/>
    <n v="4"/>
    <n v="0"/>
    <n v="0"/>
    <s v="Medium"/>
  </r>
  <r>
    <n v="1296"/>
    <n v="44"/>
    <x v="0"/>
    <x v="3"/>
    <d v="2023-10-23T00:00:00"/>
    <n v="9"/>
    <n v="0"/>
    <n v="5"/>
    <n v="216"/>
    <n v="124"/>
    <n v="1"/>
    <x v="1"/>
    <x v="1"/>
    <n v="5"/>
    <n v="0"/>
    <n v="1"/>
    <s v="Long"/>
  </r>
  <r>
    <n v="1297"/>
    <n v="43"/>
    <x v="1"/>
    <x v="0"/>
    <d v="2023-10-24T00:00:00"/>
    <n v="5"/>
    <n v="4"/>
    <n v="5"/>
    <n v="100"/>
    <n v="111"/>
    <n v="4"/>
    <x v="0"/>
    <x v="1"/>
    <n v="9"/>
    <n v="0"/>
    <n v="0"/>
    <s v="Medium"/>
  </r>
  <r>
    <n v="1298"/>
    <n v="32"/>
    <x v="1"/>
    <x v="4"/>
    <d v="2023-10-25T00:00:00"/>
    <n v="10"/>
    <n v="4"/>
    <n v="0"/>
    <n v="211"/>
    <n v="132"/>
    <n v="8"/>
    <x v="1"/>
    <x v="1"/>
    <n v="4"/>
    <n v="0"/>
    <n v="1"/>
    <s v="Long"/>
  </r>
  <r>
    <n v="1299"/>
    <n v="79"/>
    <x v="0"/>
    <x v="3"/>
    <d v="2023-10-26T00:00:00"/>
    <n v="9"/>
    <n v="3"/>
    <n v="5"/>
    <n v="122"/>
    <n v="104"/>
    <n v="3"/>
    <x v="0"/>
    <x v="0"/>
    <n v="8"/>
    <n v="0"/>
    <n v="0"/>
    <s v="Long"/>
  </r>
  <r>
    <n v="1300"/>
    <n v="26"/>
    <x v="1"/>
    <x v="2"/>
    <d v="2023-10-27T00:00:00"/>
    <n v="3"/>
    <n v="0"/>
    <n v="3"/>
    <n v="117"/>
    <n v="175"/>
    <n v="10"/>
    <x v="1"/>
    <x v="2"/>
    <n v="3"/>
    <n v="1"/>
    <n v="0"/>
    <s v="Short "/>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n v="71"/>
    <s v="Male"/>
    <s v="General Medicine"/>
    <d v="2023-01-01T00:00:00"/>
    <n v="10"/>
    <n v="3"/>
    <n v="3"/>
    <n v="153"/>
    <n v="158"/>
    <n v="5"/>
    <n v="0"/>
    <s v="Senior"/>
    <n v="6"/>
    <n v="1"/>
    <n v="0"/>
    <s v="Long"/>
  </r>
  <r>
    <n v="1002"/>
    <n v="34"/>
    <s v="Female"/>
    <s v="Oncology"/>
    <d v="2023-01-02T00:00:00"/>
    <n v="9"/>
    <n v="0"/>
    <n v="0"/>
    <n v="78"/>
    <n v="179"/>
    <n v="4"/>
    <n v="0"/>
    <s v="Adult"/>
    <n v="0"/>
    <n v="1"/>
    <n v="0"/>
    <s v="Long"/>
  </r>
  <r>
    <n v="1003"/>
    <n v="80"/>
    <s v="Male"/>
    <s v="Orthopedics"/>
    <d v="2023-01-03T00:00:00"/>
    <n v="5"/>
    <n v="1"/>
    <n v="1"/>
    <n v="235"/>
    <n v="151"/>
    <n v="10"/>
    <n v="1"/>
    <s v="Senior"/>
    <n v="2"/>
    <n v="1"/>
    <n v="1"/>
    <s v="Medium"/>
  </r>
  <r>
    <n v="1004"/>
    <n v="40"/>
    <s v="Female"/>
    <s v="Oncology"/>
    <d v="2023-01-04T00:00:00"/>
    <n v="6"/>
    <n v="2"/>
    <n v="5"/>
    <n v="245"/>
    <n v="155"/>
    <n v="1"/>
    <n v="1"/>
    <s v="Adult"/>
    <n v="7"/>
    <n v="1"/>
    <n v="1"/>
    <s v="Medium"/>
  </r>
  <r>
    <n v="1005"/>
    <n v="43"/>
    <s v="Male"/>
    <s v="Orthopedics"/>
    <d v="2023-01-05T00:00:00"/>
    <n v="4"/>
    <n v="1"/>
    <n v="0"/>
    <n v="132"/>
    <n v="153"/>
    <n v="10"/>
    <n v="0"/>
    <s v="Adult"/>
    <n v="1"/>
    <n v="1"/>
    <n v="0"/>
    <s v="Medium"/>
  </r>
  <r>
    <n v="1006"/>
    <n v="22"/>
    <s v="Female"/>
    <s v="Orthopedics"/>
    <d v="2023-01-06T00:00:00"/>
    <n v="10"/>
    <n v="1"/>
    <n v="3"/>
    <n v="186"/>
    <n v="159"/>
    <n v="6"/>
    <n v="0"/>
    <s v="Young"/>
    <n v="4"/>
    <n v="1"/>
    <n v="1"/>
    <s v="Long"/>
  </r>
  <r>
    <n v="1007"/>
    <n v="41"/>
    <s v="Female"/>
    <s v="General Medicine"/>
    <d v="2023-01-07T00:00:00"/>
    <n v="2"/>
    <n v="2"/>
    <n v="4"/>
    <n v="199"/>
    <n v="152"/>
    <n v="2"/>
    <n v="0"/>
    <s v="Adult"/>
    <n v="6"/>
    <n v="1"/>
    <n v="1"/>
    <s v="Short "/>
  </r>
  <r>
    <n v="1008"/>
    <n v="72"/>
    <s v="Female"/>
    <s v="Neurology"/>
    <d v="2023-01-08T00:00:00"/>
    <n v="11"/>
    <n v="1"/>
    <n v="0"/>
    <n v="157"/>
    <n v="162"/>
    <n v="3"/>
    <n v="0"/>
    <s v="Senior"/>
    <n v="1"/>
    <n v="1"/>
    <n v="0"/>
    <s v="Long"/>
  </r>
  <r>
    <n v="1009"/>
    <n v="21"/>
    <s v="Female"/>
    <s v="Cardiology"/>
    <d v="2023-01-09T00:00:00"/>
    <n v="8"/>
    <n v="2"/>
    <n v="5"/>
    <n v="141"/>
    <n v="122"/>
    <n v="8"/>
    <n v="0"/>
    <s v="Young"/>
    <n v="7"/>
    <n v="0"/>
    <n v="0"/>
    <s v="Long"/>
  </r>
  <r>
    <n v="1010"/>
    <n v="49"/>
    <s v="Female"/>
    <s v="General Medicine"/>
    <d v="2023-01-10T00:00:00"/>
    <n v="11"/>
    <n v="0"/>
    <n v="0"/>
    <n v="208"/>
    <n v="130"/>
    <n v="10"/>
    <n v="1"/>
    <s v="Middle-Aged"/>
    <n v="0"/>
    <n v="0"/>
    <n v="1"/>
    <s v="Long"/>
  </r>
  <r>
    <n v="1011"/>
    <n v="57"/>
    <s v="Female"/>
    <s v="General Medicine"/>
    <d v="2023-01-11T00:00:00"/>
    <n v="13"/>
    <n v="2"/>
    <n v="2"/>
    <n v="133"/>
    <n v="178"/>
    <n v="6"/>
    <n v="1"/>
    <s v="Middle-Aged"/>
    <n v="4"/>
    <n v="1"/>
    <n v="0"/>
    <s v="Long"/>
  </r>
  <r>
    <n v="1012"/>
    <n v="21"/>
    <s v="Male"/>
    <s v="Neurology"/>
    <d v="2023-01-12T00:00:00"/>
    <n v="6"/>
    <n v="2"/>
    <n v="4"/>
    <n v="141"/>
    <n v="137"/>
    <n v="3"/>
    <n v="1"/>
    <s v="Young"/>
    <n v="6"/>
    <n v="0"/>
    <n v="0"/>
    <s v="Medium"/>
  </r>
  <r>
    <n v="1013"/>
    <n v="83"/>
    <s v="Male"/>
    <s v="Cardiology"/>
    <d v="2023-01-13T00:00:00"/>
    <n v="5"/>
    <n v="3"/>
    <n v="5"/>
    <n v="90"/>
    <n v="102"/>
    <n v="7"/>
    <n v="0"/>
    <s v="Senior"/>
    <n v="8"/>
    <n v="0"/>
    <n v="0"/>
    <s v="Medium"/>
  </r>
  <r>
    <n v="1014"/>
    <n v="79"/>
    <s v="Male"/>
    <s v="Oncology"/>
    <d v="2023-01-14T00:00:00"/>
    <n v="9"/>
    <n v="2"/>
    <n v="5"/>
    <n v="87"/>
    <n v="162"/>
    <n v="4"/>
    <n v="1"/>
    <s v="Senior"/>
    <n v="7"/>
    <n v="1"/>
    <n v="0"/>
    <s v="Long"/>
  </r>
  <r>
    <n v="1015"/>
    <n v="40"/>
    <s v="Female"/>
    <s v="Oncology"/>
    <d v="2023-01-15T00:00:00"/>
    <n v="1"/>
    <n v="2"/>
    <n v="1"/>
    <n v="133"/>
    <n v="166"/>
    <n v="9"/>
    <n v="1"/>
    <s v="Adult"/>
    <n v="3"/>
    <n v="1"/>
    <n v="0"/>
    <s v="Short "/>
  </r>
  <r>
    <n v="1016"/>
    <n v="52"/>
    <s v="Female"/>
    <s v="General Medicine"/>
    <d v="2023-01-16T00:00:00"/>
    <n v="5"/>
    <n v="0"/>
    <n v="3"/>
    <n v="151"/>
    <n v="120"/>
    <n v="5"/>
    <n v="0"/>
    <s v="Middle-Aged"/>
    <n v="3"/>
    <n v="0"/>
    <n v="0"/>
    <s v="Medium"/>
  </r>
  <r>
    <n v="1017"/>
    <n v="77"/>
    <s v="Female"/>
    <s v="Cardiology"/>
    <d v="2023-01-17T00:00:00"/>
    <n v="6"/>
    <n v="3"/>
    <n v="1"/>
    <n v="179"/>
    <n v="164"/>
    <n v="3"/>
    <n v="1"/>
    <s v="Senior"/>
    <n v="4"/>
    <n v="1"/>
    <n v="0"/>
    <s v="Medium"/>
  </r>
  <r>
    <n v="1018"/>
    <n v="41"/>
    <s v="Female"/>
    <s v="General Medicine"/>
    <d v="2023-01-18T00:00:00"/>
    <n v="5"/>
    <n v="4"/>
    <n v="5"/>
    <n v="164"/>
    <n v="157"/>
    <n v="2"/>
    <n v="1"/>
    <s v="Adult"/>
    <n v="9"/>
    <n v="1"/>
    <n v="0"/>
    <s v="Medium"/>
  </r>
  <r>
    <n v="1019"/>
    <n v="68"/>
    <s v="Male"/>
    <s v="Orthopedics"/>
    <d v="2023-01-19T00:00:00"/>
    <n v="6"/>
    <n v="0"/>
    <n v="4"/>
    <n v="235"/>
    <n v="93"/>
    <n v="11"/>
    <n v="0"/>
    <s v="Senior"/>
    <n v="4"/>
    <n v="0"/>
    <n v="1"/>
    <s v="Medium"/>
  </r>
  <r>
    <n v="1020"/>
    <n v="78"/>
    <s v="Male"/>
    <s v="General Medicine"/>
    <d v="2023-01-20T00:00:00"/>
    <n v="6"/>
    <n v="0"/>
    <n v="0"/>
    <n v="101"/>
    <n v="108"/>
    <n v="2"/>
    <n v="0"/>
    <s v="Senior"/>
    <n v="0"/>
    <n v="0"/>
    <n v="0"/>
    <s v="Medium"/>
  </r>
  <r>
    <n v="1021"/>
    <n v="61"/>
    <s v="Female"/>
    <s v="General Medicine"/>
    <d v="2023-01-21T00:00:00"/>
    <n v="7"/>
    <n v="4"/>
    <n v="0"/>
    <n v="80"/>
    <n v="159"/>
    <n v="3"/>
    <n v="0"/>
    <s v="Senior"/>
    <n v="4"/>
    <n v="1"/>
    <n v="0"/>
    <s v="Medium"/>
  </r>
  <r>
    <n v="1022"/>
    <n v="79"/>
    <s v="Male"/>
    <s v="Oncology"/>
    <d v="2023-01-22T00:00:00"/>
    <n v="4"/>
    <n v="2"/>
    <n v="4"/>
    <n v="114"/>
    <n v="171"/>
    <n v="2"/>
    <n v="0"/>
    <s v="Senior"/>
    <n v="6"/>
    <n v="1"/>
    <n v="0"/>
    <s v="Medium"/>
  </r>
  <r>
    <n v="1023"/>
    <n v="34"/>
    <s v="Male"/>
    <s v="Oncology"/>
    <d v="2023-01-23T00:00:00"/>
    <n v="14"/>
    <n v="1"/>
    <n v="5"/>
    <n v="102"/>
    <n v="102"/>
    <n v="4"/>
    <n v="0"/>
    <s v="Adult"/>
    <n v="6"/>
    <n v="0"/>
    <n v="0"/>
    <s v="Long"/>
  </r>
  <r>
    <n v="1024"/>
    <n v="81"/>
    <s v="Female"/>
    <s v="Oncology"/>
    <d v="2023-01-24T00:00:00"/>
    <n v="11"/>
    <n v="3"/>
    <n v="0"/>
    <n v="171"/>
    <n v="112"/>
    <n v="2"/>
    <n v="1"/>
    <s v="Senior"/>
    <n v="3"/>
    <n v="0"/>
    <n v="0"/>
    <s v="Long"/>
  </r>
  <r>
    <n v="1025"/>
    <n v="81"/>
    <s v="Male"/>
    <s v="Orthopedics"/>
    <d v="2023-01-25T00:00:00"/>
    <n v="14"/>
    <n v="1"/>
    <n v="0"/>
    <n v="238"/>
    <n v="172"/>
    <n v="10"/>
    <n v="0"/>
    <s v="Senior"/>
    <n v="1"/>
    <n v="1"/>
    <n v="1"/>
    <s v="Long"/>
  </r>
  <r>
    <n v="1026"/>
    <n v="66"/>
    <s v="Female"/>
    <s v="Oncology"/>
    <d v="2023-01-26T00:00:00"/>
    <n v="14"/>
    <n v="4"/>
    <n v="0"/>
    <n v="205"/>
    <n v="164"/>
    <n v="9"/>
    <n v="0"/>
    <s v="Senior"/>
    <n v="4"/>
    <n v="1"/>
    <n v="1"/>
    <s v="Long"/>
  </r>
  <r>
    <n v="1027"/>
    <n v="81"/>
    <s v="Male"/>
    <s v="Cardiology"/>
    <d v="2023-01-27T00:00:00"/>
    <n v="14"/>
    <n v="0"/>
    <n v="3"/>
    <n v="80"/>
    <n v="90"/>
    <n v="2"/>
    <n v="0"/>
    <s v="Senior"/>
    <n v="3"/>
    <n v="0"/>
    <n v="0"/>
    <s v="Long"/>
  </r>
  <r>
    <n v="1028"/>
    <n v="70"/>
    <s v="Female"/>
    <s v="Neurology"/>
    <d v="2023-01-28T00:00:00"/>
    <n v="8"/>
    <n v="0"/>
    <n v="3"/>
    <n v="248"/>
    <n v="177"/>
    <n v="9"/>
    <n v="0"/>
    <s v="Senior"/>
    <n v="3"/>
    <n v="1"/>
    <n v="1"/>
    <s v="Long"/>
  </r>
  <r>
    <n v="1029"/>
    <n v="74"/>
    <s v="Female"/>
    <s v="Cardiology"/>
    <d v="2023-01-29T00:00:00"/>
    <n v="7"/>
    <n v="3"/>
    <n v="2"/>
    <n v="157"/>
    <n v="143"/>
    <n v="6"/>
    <n v="0"/>
    <s v="Senior"/>
    <n v="5"/>
    <n v="1"/>
    <n v="0"/>
    <s v="Medium"/>
  </r>
  <r>
    <n v="1030"/>
    <n v="83"/>
    <s v="Female"/>
    <s v="Cardiology"/>
    <d v="2023-01-30T00:00:00"/>
    <n v="9"/>
    <n v="0"/>
    <n v="1"/>
    <n v="110"/>
    <n v="160"/>
    <n v="1"/>
    <n v="0"/>
    <s v="Senior"/>
    <n v="1"/>
    <n v="1"/>
    <n v="0"/>
    <s v="Long"/>
  </r>
  <r>
    <n v="1031"/>
    <n v="22"/>
    <s v="Female"/>
    <s v="Oncology"/>
    <d v="2023-01-31T00:00:00"/>
    <n v="7"/>
    <n v="0"/>
    <n v="4"/>
    <n v="214"/>
    <n v="178"/>
    <n v="4"/>
    <n v="0"/>
    <s v="Young"/>
    <n v="4"/>
    <n v="1"/>
    <n v="1"/>
    <s v="Medium"/>
  </r>
  <r>
    <n v="1032"/>
    <n v="70"/>
    <s v="Male"/>
    <s v="Neurology"/>
    <d v="2023-02-01T00:00:00"/>
    <n v="3"/>
    <n v="3"/>
    <n v="4"/>
    <n v="145"/>
    <n v="174"/>
    <n v="1"/>
    <n v="0"/>
    <s v="Senior"/>
    <n v="7"/>
    <n v="1"/>
    <n v="0"/>
    <s v="Short "/>
  </r>
  <r>
    <n v="1033"/>
    <n v="26"/>
    <s v="Female"/>
    <s v="Neurology"/>
    <d v="2023-02-02T00:00:00"/>
    <n v="3"/>
    <n v="3"/>
    <n v="4"/>
    <n v="190"/>
    <n v="104"/>
    <n v="6"/>
    <n v="0"/>
    <s v="Young"/>
    <n v="7"/>
    <n v="0"/>
    <n v="1"/>
    <s v="Short "/>
  </r>
  <r>
    <n v="1034"/>
    <n v="40"/>
    <s v="Female"/>
    <s v="Neurology"/>
    <d v="2023-02-03T00:00:00"/>
    <n v="8"/>
    <n v="4"/>
    <n v="2"/>
    <n v="115"/>
    <n v="154"/>
    <n v="4"/>
    <n v="0"/>
    <s v="Adult"/>
    <n v="6"/>
    <n v="1"/>
    <n v="0"/>
    <s v="Long"/>
  </r>
  <r>
    <n v="1035"/>
    <n v="58"/>
    <s v="Female"/>
    <s v="Orthopedics"/>
    <d v="2023-02-04T00:00:00"/>
    <n v="5"/>
    <n v="0"/>
    <n v="3"/>
    <n v="229"/>
    <n v="165"/>
    <n v="3"/>
    <n v="1"/>
    <s v="Middle-Aged"/>
    <n v="3"/>
    <n v="1"/>
    <n v="1"/>
    <s v="Medium"/>
  </r>
  <r>
    <n v="1036"/>
    <n v="37"/>
    <s v="Male"/>
    <s v="Oncology"/>
    <d v="2023-02-05T00:00:00"/>
    <n v="4"/>
    <n v="0"/>
    <n v="5"/>
    <n v="149"/>
    <n v="160"/>
    <n v="3"/>
    <n v="0"/>
    <s v="Adult"/>
    <n v="5"/>
    <n v="1"/>
    <n v="0"/>
    <s v="Medium"/>
  </r>
  <r>
    <n v="1037"/>
    <n v="23"/>
    <s v="Female"/>
    <s v="Neurology"/>
    <d v="2023-02-06T00:00:00"/>
    <n v="8"/>
    <n v="4"/>
    <n v="5"/>
    <n v="123"/>
    <n v="104"/>
    <n v="9"/>
    <n v="1"/>
    <s v="Young"/>
    <n v="9"/>
    <n v="0"/>
    <n v="0"/>
    <s v="Long"/>
  </r>
  <r>
    <n v="1038"/>
    <n v="79"/>
    <s v="Male"/>
    <s v="Orthopedics"/>
    <d v="2023-02-07T00:00:00"/>
    <n v="6"/>
    <n v="2"/>
    <n v="2"/>
    <n v="155"/>
    <n v="110"/>
    <n v="6"/>
    <n v="0"/>
    <s v="Senior"/>
    <n v="4"/>
    <n v="0"/>
    <n v="0"/>
    <s v="Medium"/>
  </r>
  <r>
    <n v="1039"/>
    <n v="33"/>
    <s v="Female"/>
    <s v="General Medicine"/>
    <d v="2023-02-08T00:00:00"/>
    <n v="2"/>
    <n v="2"/>
    <n v="5"/>
    <n v="161"/>
    <n v="108"/>
    <n v="9"/>
    <n v="0"/>
    <s v="Adult"/>
    <n v="7"/>
    <n v="0"/>
    <n v="0"/>
    <s v="Short "/>
  </r>
  <r>
    <n v="1040"/>
    <n v="28"/>
    <s v="Male"/>
    <s v="General Medicine"/>
    <d v="2023-02-09T00:00:00"/>
    <n v="4"/>
    <n v="2"/>
    <n v="4"/>
    <n v="217"/>
    <n v="149"/>
    <n v="5"/>
    <n v="1"/>
    <s v="Young"/>
    <n v="6"/>
    <n v="1"/>
    <n v="1"/>
    <s v="Medium"/>
  </r>
  <r>
    <n v="1041"/>
    <n v="72"/>
    <s v="Male"/>
    <s v="Orthopedics"/>
    <d v="2023-02-10T00:00:00"/>
    <n v="12"/>
    <n v="4"/>
    <n v="1"/>
    <n v="230"/>
    <n v="178"/>
    <n v="2"/>
    <n v="0"/>
    <s v="Senior"/>
    <n v="5"/>
    <n v="1"/>
    <n v="1"/>
    <s v="Long"/>
  </r>
  <r>
    <n v="1042"/>
    <n v="21"/>
    <s v="Female"/>
    <s v="Orthopedics"/>
    <d v="2023-02-11T00:00:00"/>
    <n v="11"/>
    <n v="0"/>
    <n v="0"/>
    <n v="237"/>
    <n v="122"/>
    <n v="8"/>
    <n v="0"/>
    <s v="Young"/>
    <n v="0"/>
    <n v="0"/>
    <n v="1"/>
    <s v="Long"/>
  </r>
  <r>
    <n v="1043"/>
    <n v="79"/>
    <s v="Male"/>
    <s v="Oncology"/>
    <d v="2023-02-12T00:00:00"/>
    <n v="4"/>
    <n v="4"/>
    <n v="3"/>
    <n v="229"/>
    <n v="138"/>
    <n v="5"/>
    <n v="0"/>
    <s v="Senior"/>
    <n v="7"/>
    <n v="0"/>
    <n v="1"/>
    <s v="Medium"/>
  </r>
  <r>
    <n v="1044"/>
    <n v="63"/>
    <s v="Female"/>
    <s v="Oncology"/>
    <d v="2023-02-13T00:00:00"/>
    <n v="6"/>
    <n v="4"/>
    <n v="3"/>
    <n v="166"/>
    <n v="124"/>
    <n v="2"/>
    <n v="0"/>
    <s v="Senior"/>
    <n v="7"/>
    <n v="0"/>
    <n v="0"/>
    <s v="Medium"/>
  </r>
  <r>
    <n v="1045"/>
    <n v="27"/>
    <s v="Female"/>
    <s v="General Medicine"/>
    <d v="2023-02-14T00:00:00"/>
    <n v="6"/>
    <n v="2"/>
    <n v="2"/>
    <n v="71"/>
    <n v="133"/>
    <n v="4"/>
    <n v="0"/>
    <s v="Young"/>
    <n v="4"/>
    <n v="0"/>
    <n v="0"/>
    <s v="Medium"/>
  </r>
  <r>
    <n v="1046"/>
    <n v="66"/>
    <s v="Female"/>
    <s v="Neurology"/>
    <d v="2023-02-15T00:00:00"/>
    <n v="1"/>
    <n v="1"/>
    <n v="3"/>
    <n v="102"/>
    <n v="179"/>
    <n v="9"/>
    <n v="0"/>
    <s v="Senior"/>
    <n v="4"/>
    <n v="1"/>
    <n v="0"/>
    <s v="Short "/>
  </r>
  <r>
    <n v="1047"/>
    <n v="54"/>
    <s v="Male"/>
    <s v="General Medicine"/>
    <d v="2023-02-16T00:00:00"/>
    <n v="14"/>
    <n v="0"/>
    <n v="4"/>
    <n v="227"/>
    <n v="100"/>
    <n v="4"/>
    <n v="0"/>
    <s v="Middle-Aged"/>
    <n v="4"/>
    <n v="0"/>
    <n v="1"/>
    <s v="Long"/>
  </r>
  <r>
    <n v="1048"/>
    <n v="55"/>
    <s v="Male"/>
    <s v="Neurology"/>
    <d v="2023-02-17T00:00:00"/>
    <n v="8"/>
    <n v="2"/>
    <n v="5"/>
    <n v="230"/>
    <n v="161"/>
    <n v="4"/>
    <n v="0"/>
    <s v="Middle-Aged"/>
    <n v="7"/>
    <n v="1"/>
    <n v="1"/>
    <s v="Long"/>
  </r>
  <r>
    <n v="1049"/>
    <n v="69"/>
    <s v="Female"/>
    <s v="Neurology"/>
    <d v="2023-02-18T00:00:00"/>
    <n v="6"/>
    <n v="1"/>
    <n v="4"/>
    <n v="146"/>
    <n v="167"/>
    <n v="2"/>
    <n v="0"/>
    <s v="Senior"/>
    <n v="5"/>
    <n v="1"/>
    <n v="0"/>
    <s v="Medium"/>
  </r>
  <r>
    <n v="1050"/>
    <n v="23"/>
    <s v="Female"/>
    <s v="Oncology"/>
    <d v="2023-02-19T00:00:00"/>
    <n v="3"/>
    <n v="1"/>
    <n v="2"/>
    <n v="185"/>
    <n v="163"/>
    <n v="6"/>
    <n v="1"/>
    <s v="Young"/>
    <n v="3"/>
    <n v="1"/>
    <n v="1"/>
    <s v="Short "/>
  </r>
  <r>
    <n v="1051"/>
    <n v="21"/>
    <s v="Male"/>
    <s v="Cardiology"/>
    <d v="2023-02-20T00:00:00"/>
    <n v="14"/>
    <n v="3"/>
    <n v="4"/>
    <n v="223"/>
    <n v="155"/>
    <n v="11"/>
    <n v="1"/>
    <s v="Young"/>
    <n v="7"/>
    <n v="1"/>
    <n v="1"/>
    <s v="Long"/>
  </r>
  <r>
    <n v="1052"/>
    <n v="25"/>
    <s v="Female"/>
    <s v="Cardiology"/>
    <d v="2023-02-21T00:00:00"/>
    <n v="9"/>
    <n v="0"/>
    <n v="5"/>
    <n v="219"/>
    <n v="135"/>
    <n v="2"/>
    <n v="0"/>
    <s v="Young"/>
    <n v="5"/>
    <n v="0"/>
    <n v="1"/>
    <s v="Long"/>
  </r>
  <r>
    <n v="1053"/>
    <n v="73"/>
    <s v="Female"/>
    <s v="Orthopedics"/>
    <d v="2023-02-22T00:00:00"/>
    <n v="2"/>
    <n v="1"/>
    <n v="1"/>
    <n v="172"/>
    <n v="98"/>
    <n v="7"/>
    <n v="1"/>
    <s v="Senior"/>
    <n v="2"/>
    <n v="0"/>
    <n v="0"/>
    <s v="Short "/>
  </r>
  <r>
    <n v="1054"/>
    <n v="23"/>
    <s v="Female"/>
    <s v="Oncology"/>
    <d v="2023-02-23T00:00:00"/>
    <n v="11"/>
    <n v="2"/>
    <n v="2"/>
    <n v="235"/>
    <n v="92"/>
    <n v="3"/>
    <n v="0"/>
    <s v="Young"/>
    <n v="4"/>
    <n v="0"/>
    <n v="1"/>
    <s v="Long"/>
  </r>
  <r>
    <n v="1055"/>
    <n v="73"/>
    <s v="Male"/>
    <s v="Neurology"/>
    <d v="2023-02-24T00:00:00"/>
    <n v="8"/>
    <n v="3"/>
    <n v="1"/>
    <n v="172"/>
    <n v="174"/>
    <n v="3"/>
    <n v="0"/>
    <s v="Senior"/>
    <n v="4"/>
    <n v="1"/>
    <n v="0"/>
    <s v="Long"/>
  </r>
  <r>
    <n v="1056"/>
    <n v="82"/>
    <s v="Male"/>
    <s v="Cardiology"/>
    <d v="2023-02-25T00:00:00"/>
    <n v="10"/>
    <n v="0"/>
    <n v="0"/>
    <n v="159"/>
    <n v="115"/>
    <n v="5"/>
    <n v="0"/>
    <s v="Senior"/>
    <n v="0"/>
    <n v="0"/>
    <n v="0"/>
    <s v="Long"/>
  </r>
  <r>
    <n v="1057"/>
    <n v="37"/>
    <s v="Male"/>
    <s v="Neurology"/>
    <d v="2023-02-26T00:00:00"/>
    <n v="3"/>
    <n v="4"/>
    <n v="1"/>
    <n v="243"/>
    <n v="161"/>
    <n v="3"/>
    <n v="1"/>
    <s v="Adult"/>
    <n v="5"/>
    <n v="1"/>
    <n v="1"/>
    <s v="Short "/>
  </r>
  <r>
    <n v="1058"/>
    <n v="63"/>
    <s v="Female"/>
    <s v="Cardiology"/>
    <d v="2023-02-27T00:00:00"/>
    <n v="13"/>
    <n v="2"/>
    <n v="0"/>
    <n v="191"/>
    <n v="137"/>
    <n v="2"/>
    <n v="0"/>
    <s v="Senior"/>
    <n v="2"/>
    <n v="0"/>
    <n v="1"/>
    <s v="Long"/>
  </r>
  <r>
    <n v="1059"/>
    <n v="53"/>
    <s v="Female"/>
    <s v="Cardiology"/>
    <d v="2023-02-28T00:00:00"/>
    <n v="12"/>
    <n v="1"/>
    <n v="0"/>
    <n v="212"/>
    <n v="155"/>
    <n v="10"/>
    <n v="0"/>
    <s v="Middle-Aged"/>
    <n v="1"/>
    <n v="1"/>
    <n v="1"/>
    <s v="Long"/>
  </r>
  <r>
    <n v="1060"/>
    <n v="81"/>
    <s v="Female"/>
    <s v="Cardiology"/>
    <d v="2023-03-01T00:00:00"/>
    <n v="5"/>
    <n v="1"/>
    <n v="1"/>
    <n v="175"/>
    <n v="159"/>
    <n v="9"/>
    <n v="0"/>
    <s v="Senior"/>
    <n v="2"/>
    <n v="1"/>
    <n v="0"/>
    <s v="Medium"/>
  </r>
  <r>
    <n v="1061"/>
    <n v="33"/>
    <s v="Male"/>
    <s v="Oncology"/>
    <d v="2023-03-02T00:00:00"/>
    <n v="6"/>
    <n v="2"/>
    <n v="2"/>
    <n v="188"/>
    <n v="117"/>
    <n v="2"/>
    <n v="1"/>
    <s v="Adult"/>
    <n v="4"/>
    <n v="0"/>
    <n v="1"/>
    <s v="Medium"/>
  </r>
  <r>
    <n v="1062"/>
    <n v="67"/>
    <s v="Female"/>
    <s v="General Medicine"/>
    <d v="2023-03-03T00:00:00"/>
    <n v="10"/>
    <n v="1"/>
    <n v="5"/>
    <n v="241"/>
    <n v="115"/>
    <n v="11"/>
    <n v="1"/>
    <s v="Senior"/>
    <n v="6"/>
    <n v="0"/>
    <n v="1"/>
    <s v="Long"/>
  </r>
  <r>
    <n v="1063"/>
    <n v="34"/>
    <s v="Female"/>
    <s v="Neurology"/>
    <d v="2023-03-04T00:00:00"/>
    <n v="6"/>
    <n v="3"/>
    <n v="4"/>
    <n v="118"/>
    <n v="114"/>
    <n v="2"/>
    <n v="1"/>
    <s v="Adult"/>
    <n v="7"/>
    <n v="0"/>
    <n v="0"/>
    <s v="Medium"/>
  </r>
  <r>
    <n v="1064"/>
    <n v="81"/>
    <s v="Female"/>
    <s v="Oncology"/>
    <d v="2023-03-05T00:00:00"/>
    <n v="4"/>
    <n v="0"/>
    <n v="4"/>
    <n v="173"/>
    <n v="101"/>
    <n v="8"/>
    <n v="0"/>
    <s v="Senior"/>
    <n v="4"/>
    <n v="0"/>
    <n v="0"/>
    <s v="Medium"/>
  </r>
  <r>
    <n v="1065"/>
    <n v="59"/>
    <s v="Female"/>
    <s v="Oncology"/>
    <d v="2023-03-06T00:00:00"/>
    <n v="3"/>
    <n v="3"/>
    <n v="5"/>
    <n v="130"/>
    <n v="94"/>
    <n v="9"/>
    <n v="0"/>
    <s v="Middle-Aged"/>
    <n v="8"/>
    <n v="0"/>
    <n v="0"/>
    <s v="Short "/>
  </r>
  <r>
    <n v="1066"/>
    <n v="72"/>
    <s v="Male"/>
    <s v="Oncology"/>
    <d v="2023-03-07T00:00:00"/>
    <n v="4"/>
    <n v="1"/>
    <n v="0"/>
    <n v="192"/>
    <n v="137"/>
    <n v="7"/>
    <n v="0"/>
    <s v="Senior"/>
    <n v="1"/>
    <n v="0"/>
    <n v="1"/>
    <s v="Medium"/>
  </r>
  <r>
    <n v="1067"/>
    <n v="43"/>
    <s v="Male"/>
    <s v="Oncology"/>
    <d v="2023-03-08T00:00:00"/>
    <n v="1"/>
    <n v="4"/>
    <n v="0"/>
    <n v="203"/>
    <n v="126"/>
    <n v="3"/>
    <n v="0"/>
    <s v="Adult"/>
    <n v="4"/>
    <n v="0"/>
    <n v="1"/>
    <s v="Short "/>
  </r>
  <r>
    <n v="1068"/>
    <n v="45"/>
    <s v="Female"/>
    <s v="Oncology"/>
    <d v="2023-03-09T00:00:00"/>
    <n v="4"/>
    <n v="0"/>
    <n v="2"/>
    <n v="78"/>
    <n v="168"/>
    <n v="9"/>
    <n v="0"/>
    <s v="Middle-Aged"/>
    <n v="2"/>
    <n v="1"/>
    <n v="0"/>
    <s v="Medium"/>
  </r>
  <r>
    <n v="1069"/>
    <n v="79"/>
    <s v="Male"/>
    <s v="Orthopedics"/>
    <d v="2023-03-10T00:00:00"/>
    <n v="1"/>
    <n v="0"/>
    <n v="3"/>
    <n v="75"/>
    <n v="133"/>
    <n v="3"/>
    <n v="0"/>
    <s v="Senior"/>
    <n v="3"/>
    <n v="0"/>
    <n v="0"/>
    <s v="Short "/>
  </r>
  <r>
    <n v="1070"/>
    <n v="60"/>
    <s v="Male"/>
    <s v="Neurology"/>
    <d v="2023-03-11T00:00:00"/>
    <n v="12"/>
    <n v="2"/>
    <n v="1"/>
    <n v="142"/>
    <n v="104"/>
    <n v="5"/>
    <n v="1"/>
    <s v="Senior"/>
    <n v="3"/>
    <n v="0"/>
    <n v="0"/>
    <s v="Long"/>
  </r>
  <r>
    <n v="1071"/>
    <n v="48"/>
    <s v="Female"/>
    <s v="Oncology"/>
    <d v="2023-03-12T00:00:00"/>
    <n v="1"/>
    <n v="2"/>
    <n v="0"/>
    <n v="172"/>
    <n v="132"/>
    <n v="9"/>
    <n v="1"/>
    <s v="Middle-Aged"/>
    <n v="2"/>
    <n v="0"/>
    <n v="0"/>
    <s v="Short "/>
  </r>
  <r>
    <n v="1072"/>
    <n v="34"/>
    <s v="Female"/>
    <s v="Neurology"/>
    <d v="2023-03-13T00:00:00"/>
    <n v="10"/>
    <n v="4"/>
    <n v="4"/>
    <n v="229"/>
    <n v="137"/>
    <n v="3"/>
    <n v="1"/>
    <s v="Adult"/>
    <n v="8"/>
    <n v="0"/>
    <n v="1"/>
    <s v="Long"/>
  </r>
  <r>
    <n v="1073"/>
    <n v="64"/>
    <s v="Male"/>
    <s v="Orthopedics"/>
    <d v="2023-03-14T00:00:00"/>
    <n v="14"/>
    <n v="0"/>
    <n v="2"/>
    <n v="110"/>
    <n v="176"/>
    <n v="7"/>
    <n v="1"/>
    <s v="Senior"/>
    <n v="2"/>
    <n v="1"/>
    <n v="0"/>
    <s v="Long"/>
  </r>
  <r>
    <n v="1074"/>
    <n v="84"/>
    <s v="Female"/>
    <s v="Orthopedics"/>
    <d v="2023-03-15T00:00:00"/>
    <n v="6"/>
    <n v="4"/>
    <n v="1"/>
    <n v="183"/>
    <n v="159"/>
    <n v="1"/>
    <n v="0"/>
    <s v="Senior"/>
    <n v="5"/>
    <n v="1"/>
    <n v="1"/>
    <s v="Medium"/>
  </r>
  <r>
    <n v="1075"/>
    <n v="28"/>
    <s v="Male"/>
    <s v="Neurology"/>
    <d v="2023-03-16T00:00:00"/>
    <n v="5"/>
    <n v="2"/>
    <n v="2"/>
    <n v="77"/>
    <n v="135"/>
    <n v="4"/>
    <n v="0"/>
    <s v="Young"/>
    <n v="4"/>
    <n v="0"/>
    <n v="0"/>
    <s v="Medium"/>
  </r>
  <r>
    <n v="1076"/>
    <n v="20"/>
    <s v="Female"/>
    <s v="Cardiology"/>
    <d v="2023-03-17T00:00:00"/>
    <n v="14"/>
    <n v="2"/>
    <n v="1"/>
    <n v="141"/>
    <n v="132"/>
    <n v="4"/>
    <n v="1"/>
    <s v="Young"/>
    <n v="3"/>
    <n v="0"/>
    <n v="0"/>
    <s v="Long"/>
  </r>
  <r>
    <n v="1077"/>
    <n v="27"/>
    <s v="Male"/>
    <s v="General Medicine"/>
    <d v="2023-03-18T00:00:00"/>
    <n v="11"/>
    <n v="0"/>
    <n v="1"/>
    <n v="247"/>
    <n v="110"/>
    <n v="7"/>
    <n v="0"/>
    <s v="Young"/>
    <n v="1"/>
    <n v="0"/>
    <n v="1"/>
    <s v="Long"/>
  </r>
  <r>
    <n v="1078"/>
    <n v="82"/>
    <s v="Female"/>
    <s v="Cardiology"/>
    <d v="2023-03-19T00:00:00"/>
    <n v="4"/>
    <n v="3"/>
    <n v="5"/>
    <n v="161"/>
    <n v="112"/>
    <n v="8"/>
    <n v="1"/>
    <s v="Senior"/>
    <n v="8"/>
    <n v="0"/>
    <n v="0"/>
    <s v="Medium"/>
  </r>
  <r>
    <n v="1079"/>
    <n v="30"/>
    <s v="Male"/>
    <s v="Cardiology"/>
    <d v="2023-03-20T00:00:00"/>
    <n v="13"/>
    <n v="1"/>
    <n v="0"/>
    <n v="131"/>
    <n v="169"/>
    <n v="1"/>
    <n v="0"/>
    <s v="Adult"/>
    <n v="1"/>
    <n v="1"/>
    <n v="0"/>
    <s v="Long"/>
  </r>
  <r>
    <n v="1080"/>
    <n v="27"/>
    <s v="Male"/>
    <s v="Cardiology"/>
    <d v="2023-03-21T00:00:00"/>
    <n v="11"/>
    <n v="2"/>
    <n v="2"/>
    <n v="153"/>
    <n v="136"/>
    <n v="5"/>
    <n v="0"/>
    <s v="Young"/>
    <n v="4"/>
    <n v="0"/>
    <n v="0"/>
    <s v="Long"/>
  </r>
  <r>
    <n v="1081"/>
    <n v="54"/>
    <s v="Male"/>
    <s v="Oncology"/>
    <d v="2023-03-22T00:00:00"/>
    <n v="3"/>
    <n v="2"/>
    <n v="2"/>
    <n v="131"/>
    <n v="104"/>
    <n v="7"/>
    <n v="0"/>
    <s v="Middle-Aged"/>
    <n v="4"/>
    <n v="0"/>
    <n v="0"/>
    <s v="Short "/>
  </r>
  <r>
    <n v="1082"/>
    <n v="54"/>
    <s v="Female"/>
    <s v="Orthopedics"/>
    <d v="2023-03-23T00:00:00"/>
    <n v="1"/>
    <n v="3"/>
    <n v="5"/>
    <n v="180"/>
    <n v="114"/>
    <n v="4"/>
    <n v="1"/>
    <s v="Middle-Aged"/>
    <n v="8"/>
    <n v="0"/>
    <n v="1"/>
    <s v="Short "/>
  </r>
  <r>
    <n v="1083"/>
    <n v="52"/>
    <s v="Male"/>
    <s v="Cardiology"/>
    <d v="2023-03-24T00:00:00"/>
    <n v="6"/>
    <n v="3"/>
    <n v="4"/>
    <n v="196"/>
    <n v="125"/>
    <n v="4"/>
    <n v="1"/>
    <s v="Middle-Aged"/>
    <n v="7"/>
    <n v="0"/>
    <n v="1"/>
    <s v="Medium"/>
  </r>
  <r>
    <n v="1084"/>
    <n v="24"/>
    <s v="Male"/>
    <s v="Orthopedics"/>
    <d v="2023-03-25T00:00:00"/>
    <n v="2"/>
    <n v="4"/>
    <n v="4"/>
    <n v="76"/>
    <n v="164"/>
    <n v="4"/>
    <n v="0"/>
    <s v="Young"/>
    <n v="8"/>
    <n v="1"/>
    <n v="0"/>
    <s v="Short "/>
  </r>
  <r>
    <n v="1085"/>
    <n v="60"/>
    <s v="Female"/>
    <s v="Neurology"/>
    <d v="2023-03-26T00:00:00"/>
    <n v="8"/>
    <n v="4"/>
    <n v="0"/>
    <n v="153"/>
    <n v="140"/>
    <n v="6"/>
    <n v="1"/>
    <s v="Senior"/>
    <n v="4"/>
    <n v="1"/>
    <n v="0"/>
    <s v="Long"/>
  </r>
  <r>
    <n v="1086"/>
    <n v="47"/>
    <s v="Female"/>
    <s v="General Medicine"/>
    <d v="2023-03-27T00:00:00"/>
    <n v="10"/>
    <n v="1"/>
    <n v="0"/>
    <n v="201"/>
    <n v="104"/>
    <n v="7"/>
    <n v="0"/>
    <s v="Middle-Aged"/>
    <n v="1"/>
    <n v="0"/>
    <n v="1"/>
    <s v="Long"/>
  </r>
  <r>
    <n v="1087"/>
    <n v="26"/>
    <s v="Male"/>
    <s v="Neurology"/>
    <d v="2023-03-28T00:00:00"/>
    <n v="5"/>
    <n v="1"/>
    <n v="3"/>
    <n v="203"/>
    <n v="157"/>
    <n v="2"/>
    <n v="0"/>
    <s v="Young"/>
    <n v="4"/>
    <n v="1"/>
    <n v="1"/>
    <s v="Medium"/>
  </r>
  <r>
    <n v="1088"/>
    <n v="31"/>
    <s v="Male"/>
    <s v="Neurology"/>
    <d v="2023-03-29T00:00:00"/>
    <n v="7"/>
    <n v="0"/>
    <n v="5"/>
    <n v="127"/>
    <n v="110"/>
    <n v="5"/>
    <n v="0"/>
    <s v="Adult"/>
    <n v="5"/>
    <n v="0"/>
    <n v="0"/>
    <s v="Medium"/>
  </r>
  <r>
    <n v="1089"/>
    <n v="53"/>
    <s v="Female"/>
    <s v="Oncology"/>
    <d v="2023-03-30T00:00:00"/>
    <n v="10"/>
    <n v="4"/>
    <n v="4"/>
    <n v="91"/>
    <n v="102"/>
    <n v="4"/>
    <n v="0"/>
    <s v="Middle-Aged"/>
    <n v="8"/>
    <n v="0"/>
    <n v="0"/>
    <s v="Long"/>
  </r>
  <r>
    <n v="1090"/>
    <n v="52"/>
    <s v="Female"/>
    <s v="General Medicine"/>
    <d v="2023-03-31T00:00:00"/>
    <n v="12"/>
    <n v="2"/>
    <n v="1"/>
    <n v="223"/>
    <n v="175"/>
    <n v="3"/>
    <n v="0"/>
    <s v="Middle-Aged"/>
    <n v="3"/>
    <n v="1"/>
    <n v="1"/>
    <s v="Long"/>
  </r>
  <r>
    <n v="1091"/>
    <n v="67"/>
    <s v="Female"/>
    <s v="Neurology"/>
    <d v="2023-04-01T00:00:00"/>
    <n v="2"/>
    <n v="4"/>
    <n v="2"/>
    <n v="196"/>
    <n v="108"/>
    <n v="7"/>
    <n v="1"/>
    <s v="Senior"/>
    <n v="6"/>
    <n v="0"/>
    <n v="1"/>
    <s v="Short "/>
  </r>
  <r>
    <n v="1092"/>
    <n v="42"/>
    <s v="Female"/>
    <s v="Neurology"/>
    <d v="2023-04-02T00:00:00"/>
    <n v="13"/>
    <n v="2"/>
    <n v="0"/>
    <n v="72"/>
    <n v="123"/>
    <n v="11"/>
    <n v="1"/>
    <s v="Adult"/>
    <n v="2"/>
    <n v="0"/>
    <n v="0"/>
    <s v="Long"/>
  </r>
  <r>
    <n v="1093"/>
    <n v="81"/>
    <s v="Female"/>
    <s v="General Medicine"/>
    <d v="2023-04-03T00:00:00"/>
    <n v="8"/>
    <n v="3"/>
    <n v="2"/>
    <n v="196"/>
    <n v="167"/>
    <n v="6"/>
    <n v="0"/>
    <s v="Senior"/>
    <n v="5"/>
    <n v="1"/>
    <n v="1"/>
    <s v="Long"/>
  </r>
  <r>
    <n v="1094"/>
    <n v="56"/>
    <s v="Male"/>
    <s v="General Medicine"/>
    <d v="2023-04-04T00:00:00"/>
    <n v="2"/>
    <n v="4"/>
    <n v="2"/>
    <n v="110"/>
    <n v="157"/>
    <n v="7"/>
    <n v="0"/>
    <s v="Middle-Aged"/>
    <n v="6"/>
    <n v="1"/>
    <n v="0"/>
    <s v="Short "/>
  </r>
  <r>
    <n v="1095"/>
    <n v="63"/>
    <s v="Female"/>
    <s v="Neurology"/>
    <d v="2023-04-05T00:00:00"/>
    <n v="4"/>
    <n v="3"/>
    <n v="3"/>
    <n v="175"/>
    <n v="141"/>
    <n v="5"/>
    <n v="1"/>
    <s v="Senior"/>
    <n v="6"/>
    <n v="1"/>
    <n v="0"/>
    <s v="Medium"/>
  </r>
  <r>
    <n v="1096"/>
    <n v="54"/>
    <s v="Male"/>
    <s v="General Medicine"/>
    <d v="2023-04-06T00:00:00"/>
    <n v="1"/>
    <n v="1"/>
    <n v="4"/>
    <n v="83"/>
    <n v="116"/>
    <n v="6"/>
    <n v="1"/>
    <s v="Middle-Aged"/>
    <n v="5"/>
    <n v="0"/>
    <n v="0"/>
    <s v="Short "/>
  </r>
  <r>
    <n v="1097"/>
    <n v="84"/>
    <s v="Male"/>
    <s v="Neurology"/>
    <d v="2023-04-07T00:00:00"/>
    <n v="5"/>
    <n v="1"/>
    <n v="0"/>
    <n v="81"/>
    <n v="118"/>
    <n v="5"/>
    <n v="1"/>
    <s v="Senior"/>
    <n v="1"/>
    <n v="0"/>
    <n v="0"/>
    <s v="Medium"/>
  </r>
  <r>
    <n v="1098"/>
    <n v="66"/>
    <s v="Male"/>
    <s v="Neurology"/>
    <d v="2023-04-08T00:00:00"/>
    <n v="9"/>
    <n v="0"/>
    <n v="2"/>
    <n v="156"/>
    <n v="117"/>
    <n v="7"/>
    <n v="0"/>
    <s v="Senior"/>
    <n v="2"/>
    <n v="0"/>
    <n v="0"/>
    <s v="Long"/>
  </r>
  <r>
    <n v="1099"/>
    <n v="22"/>
    <s v="Female"/>
    <s v="Oncology"/>
    <d v="2023-04-09T00:00:00"/>
    <n v="1"/>
    <n v="4"/>
    <n v="0"/>
    <n v="81"/>
    <n v="124"/>
    <n v="2"/>
    <n v="0"/>
    <s v="Young"/>
    <n v="4"/>
    <n v="0"/>
    <n v="0"/>
    <s v="Short "/>
  </r>
  <r>
    <n v="1100"/>
    <n v="20"/>
    <s v="Male"/>
    <s v="Cardiology"/>
    <d v="2023-04-10T00:00:00"/>
    <n v="9"/>
    <n v="3"/>
    <n v="1"/>
    <n v="210"/>
    <n v="97"/>
    <n v="11"/>
    <n v="0"/>
    <s v="Young"/>
    <n v="4"/>
    <n v="0"/>
    <n v="1"/>
    <s v="Long"/>
  </r>
  <r>
    <n v="1101"/>
    <n v="24"/>
    <s v="Male"/>
    <s v="Neurology"/>
    <d v="2023-04-11T00:00:00"/>
    <n v="11"/>
    <n v="2"/>
    <n v="3"/>
    <n v="94"/>
    <n v="105"/>
    <n v="5"/>
    <n v="0"/>
    <s v="Young"/>
    <n v="5"/>
    <n v="0"/>
    <n v="0"/>
    <s v="Long"/>
  </r>
  <r>
    <n v="1102"/>
    <n v="33"/>
    <s v="Female"/>
    <s v="Orthopedics"/>
    <d v="2023-04-12T00:00:00"/>
    <n v="8"/>
    <n v="1"/>
    <n v="1"/>
    <n v="114"/>
    <n v="125"/>
    <n v="6"/>
    <n v="0"/>
    <s v="Adult"/>
    <n v="2"/>
    <n v="0"/>
    <n v="0"/>
    <s v="Long"/>
  </r>
  <r>
    <n v="1103"/>
    <n v="46"/>
    <s v="Male"/>
    <s v="Cardiology"/>
    <d v="2023-04-13T00:00:00"/>
    <n v="6"/>
    <n v="1"/>
    <n v="0"/>
    <n v="191"/>
    <n v="119"/>
    <n v="6"/>
    <n v="1"/>
    <s v="Middle-Aged"/>
    <n v="1"/>
    <n v="0"/>
    <n v="1"/>
    <s v="Medium"/>
  </r>
  <r>
    <n v="1104"/>
    <n v="28"/>
    <s v="Male"/>
    <s v="Cardiology"/>
    <d v="2023-04-14T00:00:00"/>
    <n v="7"/>
    <n v="2"/>
    <n v="0"/>
    <n v="216"/>
    <n v="107"/>
    <n v="5"/>
    <n v="0"/>
    <s v="Young"/>
    <n v="2"/>
    <n v="0"/>
    <n v="1"/>
    <s v="Medium"/>
  </r>
  <r>
    <n v="1105"/>
    <n v="34"/>
    <s v="Female"/>
    <s v="Cardiology"/>
    <d v="2023-04-15T00:00:00"/>
    <n v="3"/>
    <n v="3"/>
    <n v="4"/>
    <n v="124"/>
    <n v="91"/>
    <n v="10"/>
    <n v="0"/>
    <s v="Adult"/>
    <n v="7"/>
    <n v="0"/>
    <n v="0"/>
    <s v="Short "/>
  </r>
  <r>
    <n v="1106"/>
    <n v="61"/>
    <s v="Male"/>
    <s v="Oncology"/>
    <d v="2023-04-16T00:00:00"/>
    <n v="14"/>
    <n v="3"/>
    <n v="2"/>
    <n v="169"/>
    <n v="138"/>
    <n v="7"/>
    <n v="0"/>
    <s v="Senior"/>
    <n v="5"/>
    <n v="0"/>
    <n v="0"/>
    <s v="Long"/>
  </r>
  <r>
    <n v="1107"/>
    <n v="70"/>
    <s v="Male"/>
    <s v="Neurology"/>
    <d v="2023-04-17T00:00:00"/>
    <n v="1"/>
    <n v="4"/>
    <n v="2"/>
    <n v="242"/>
    <n v="166"/>
    <n v="10"/>
    <n v="0"/>
    <s v="Senior"/>
    <n v="6"/>
    <n v="1"/>
    <n v="1"/>
    <s v="Short "/>
  </r>
  <r>
    <n v="1108"/>
    <n v="82"/>
    <s v="Male"/>
    <s v="Oncology"/>
    <d v="2023-04-18T00:00:00"/>
    <n v="5"/>
    <n v="4"/>
    <n v="1"/>
    <n v="205"/>
    <n v="93"/>
    <n v="8"/>
    <n v="0"/>
    <s v="Senior"/>
    <n v="5"/>
    <n v="0"/>
    <n v="1"/>
    <s v="Medium"/>
  </r>
  <r>
    <n v="1109"/>
    <n v="71"/>
    <s v="Female"/>
    <s v="Neurology"/>
    <d v="2023-04-19T00:00:00"/>
    <n v="14"/>
    <n v="0"/>
    <n v="3"/>
    <n v="188"/>
    <n v="179"/>
    <n v="7"/>
    <n v="0"/>
    <s v="Senior"/>
    <n v="3"/>
    <n v="1"/>
    <n v="1"/>
    <s v="Long"/>
  </r>
  <r>
    <n v="1110"/>
    <n v="23"/>
    <s v="Female"/>
    <s v="Oncology"/>
    <d v="2023-04-20T00:00:00"/>
    <n v="12"/>
    <n v="1"/>
    <n v="5"/>
    <n v="122"/>
    <n v="178"/>
    <n v="5"/>
    <n v="0"/>
    <s v="Young"/>
    <n v="6"/>
    <n v="1"/>
    <n v="0"/>
    <s v="Long"/>
  </r>
  <r>
    <n v="1111"/>
    <n v="42"/>
    <s v="Female"/>
    <s v="Oncology"/>
    <d v="2023-04-21T00:00:00"/>
    <n v="12"/>
    <n v="4"/>
    <n v="2"/>
    <n v="101"/>
    <n v="164"/>
    <n v="1"/>
    <n v="1"/>
    <s v="Adult"/>
    <n v="6"/>
    <n v="1"/>
    <n v="0"/>
    <s v="Long"/>
  </r>
  <r>
    <n v="1112"/>
    <n v="34"/>
    <s v="Male"/>
    <s v="Orthopedics"/>
    <d v="2023-04-22T00:00:00"/>
    <n v="2"/>
    <n v="3"/>
    <n v="4"/>
    <n v="120"/>
    <n v="96"/>
    <n v="5"/>
    <n v="1"/>
    <s v="Adult"/>
    <n v="7"/>
    <n v="0"/>
    <n v="0"/>
    <s v="Short "/>
  </r>
  <r>
    <n v="1113"/>
    <n v="62"/>
    <s v="Male"/>
    <s v="Oncology"/>
    <d v="2023-04-23T00:00:00"/>
    <n v="14"/>
    <n v="2"/>
    <n v="1"/>
    <n v="113"/>
    <n v="163"/>
    <n v="10"/>
    <n v="0"/>
    <s v="Senior"/>
    <n v="3"/>
    <n v="1"/>
    <n v="0"/>
    <s v="Long"/>
  </r>
  <r>
    <n v="1114"/>
    <n v="48"/>
    <s v="Female"/>
    <s v="General Medicine"/>
    <d v="2023-04-24T00:00:00"/>
    <n v="5"/>
    <n v="3"/>
    <n v="1"/>
    <n v="151"/>
    <n v="128"/>
    <n v="2"/>
    <n v="0"/>
    <s v="Middle-Aged"/>
    <n v="4"/>
    <n v="0"/>
    <n v="0"/>
    <s v="Medium"/>
  </r>
  <r>
    <n v="1115"/>
    <n v="55"/>
    <s v="Male"/>
    <s v="Orthopedics"/>
    <d v="2023-04-25T00:00:00"/>
    <n v="8"/>
    <n v="1"/>
    <n v="5"/>
    <n v="215"/>
    <n v="102"/>
    <n v="5"/>
    <n v="1"/>
    <s v="Middle-Aged"/>
    <n v="6"/>
    <n v="0"/>
    <n v="1"/>
    <s v="Long"/>
  </r>
  <r>
    <n v="1116"/>
    <n v="32"/>
    <s v="Male"/>
    <s v="Oncology"/>
    <d v="2023-04-26T00:00:00"/>
    <n v="11"/>
    <n v="3"/>
    <n v="4"/>
    <n v="219"/>
    <n v="120"/>
    <n v="5"/>
    <n v="0"/>
    <s v="Adult"/>
    <n v="7"/>
    <n v="0"/>
    <n v="1"/>
    <s v="Long"/>
  </r>
  <r>
    <n v="1117"/>
    <n v="51"/>
    <s v="Female"/>
    <s v="Cardiology"/>
    <d v="2023-04-27T00:00:00"/>
    <n v="9"/>
    <n v="0"/>
    <n v="3"/>
    <n v="106"/>
    <n v="160"/>
    <n v="2"/>
    <n v="0"/>
    <s v="Middle-Aged"/>
    <n v="3"/>
    <n v="1"/>
    <n v="0"/>
    <s v="Long"/>
  </r>
  <r>
    <n v="1118"/>
    <n v="78"/>
    <s v="Female"/>
    <s v="General Medicine"/>
    <d v="2023-04-28T00:00:00"/>
    <n v="2"/>
    <n v="1"/>
    <n v="4"/>
    <n v="165"/>
    <n v="152"/>
    <n v="5"/>
    <n v="1"/>
    <s v="Senior"/>
    <n v="5"/>
    <n v="1"/>
    <n v="0"/>
    <s v="Short "/>
  </r>
  <r>
    <n v="1119"/>
    <n v="47"/>
    <s v="Male"/>
    <s v="General Medicine"/>
    <d v="2023-04-29T00:00:00"/>
    <n v="12"/>
    <n v="2"/>
    <n v="3"/>
    <n v="125"/>
    <n v="145"/>
    <n v="4"/>
    <n v="0"/>
    <s v="Middle-Aged"/>
    <n v="5"/>
    <n v="1"/>
    <n v="0"/>
    <s v="Long"/>
  </r>
  <r>
    <n v="1120"/>
    <n v="85"/>
    <s v="Male"/>
    <s v="General Medicine"/>
    <d v="2023-04-30T00:00:00"/>
    <n v="3"/>
    <n v="0"/>
    <n v="4"/>
    <n v="174"/>
    <n v="131"/>
    <n v="1"/>
    <n v="0"/>
    <s v="Senior"/>
    <n v="4"/>
    <n v="0"/>
    <n v="0"/>
    <s v="Short "/>
  </r>
  <r>
    <n v="1121"/>
    <n v="61"/>
    <s v="Male"/>
    <s v="Orthopedics"/>
    <d v="2023-05-01T00:00:00"/>
    <n v="3"/>
    <n v="1"/>
    <n v="4"/>
    <n v="128"/>
    <n v="150"/>
    <n v="3"/>
    <n v="0"/>
    <s v="Senior"/>
    <n v="5"/>
    <n v="1"/>
    <n v="0"/>
    <s v="Short "/>
  </r>
  <r>
    <n v="1122"/>
    <n v="64"/>
    <s v="Female"/>
    <s v="Oncology"/>
    <d v="2023-05-02T00:00:00"/>
    <n v="1"/>
    <n v="2"/>
    <n v="0"/>
    <n v="200"/>
    <n v="131"/>
    <n v="1"/>
    <n v="0"/>
    <s v="Senior"/>
    <n v="2"/>
    <n v="0"/>
    <n v="1"/>
    <s v="Short "/>
  </r>
  <r>
    <n v="1123"/>
    <n v="81"/>
    <s v="Female"/>
    <s v="Oncology"/>
    <d v="2023-05-03T00:00:00"/>
    <n v="8"/>
    <n v="0"/>
    <n v="1"/>
    <n v="225"/>
    <n v="145"/>
    <n v="11"/>
    <n v="0"/>
    <s v="Senior"/>
    <n v="1"/>
    <n v="1"/>
    <n v="1"/>
    <s v="Long"/>
  </r>
  <r>
    <n v="1124"/>
    <n v="76"/>
    <s v="Female"/>
    <s v="Cardiology"/>
    <d v="2023-05-04T00:00:00"/>
    <n v="6"/>
    <n v="0"/>
    <n v="4"/>
    <n v="104"/>
    <n v="125"/>
    <n v="5"/>
    <n v="1"/>
    <s v="Senior"/>
    <n v="4"/>
    <n v="0"/>
    <n v="0"/>
    <s v="Medium"/>
  </r>
  <r>
    <n v="1125"/>
    <n v="25"/>
    <s v="Female"/>
    <s v="Cardiology"/>
    <d v="2023-05-05T00:00:00"/>
    <n v="12"/>
    <n v="1"/>
    <n v="5"/>
    <n v="162"/>
    <n v="173"/>
    <n v="4"/>
    <n v="0"/>
    <s v="Young"/>
    <n v="6"/>
    <n v="1"/>
    <n v="0"/>
    <s v="Long"/>
  </r>
  <r>
    <n v="1126"/>
    <n v="47"/>
    <s v="Male"/>
    <s v="General Medicine"/>
    <d v="2023-05-06T00:00:00"/>
    <n v="13"/>
    <n v="4"/>
    <n v="4"/>
    <n v="166"/>
    <n v="157"/>
    <n v="7"/>
    <n v="0"/>
    <s v="Middle-Aged"/>
    <n v="8"/>
    <n v="1"/>
    <n v="0"/>
    <s v="Long"/>
  </r>
  <r>
    <n v="1127"/>
    <n v="47"/>
    <s v="Female"/>
    <s v="Cardiology"/>
    <d v="2023-05-07T00:00:00"/>
    <n v="8"/>
    <n v="0"/>
    <n v="2"/>
    <n v="204"/>
    <n v="96"/>
    <n v="5"/>
    <n v="1"/>
    <s v="Middle-Aged"/>
    <n v="2"/>
    <n v="0"/>
    <n v="1"/>
    <s v="Long"/>
  </r>
  <r>
    <n v="1128"/>
    <n v="63"/>
    <s v="Female"/>
    <s v="Orthopedics"/>
    <d v="2023-05-08T00:00:00"/>
    <n v="11"/>
    <n v="0"/>
    <n v="1"/>
    <n v="145"/>
    <n v="143"/>
    <n v="10"/>
    <n v="0"/>
    <s v="Senior"/>
    <n v="1"/>
    <n v="1"/>
    <n v="0"/>
    <s v="Long"/>
  </r>
  <r>
    <n v="1129"/>
    <n v="49"/>
    <s v="Female"/>
    <s v="Oncology"/>
    <d v="2023-05-09T00:00:00"/>
    <n v="9"/>
    <n v="2"/>
    <n v="2"/>
    <n v="118"/>
    <n v="90"/>
    <n v="4"/>
    <n v="0"/>
    <s v="Middle-Aged"/>
    <n v="4"/>
    <n v="0"/>
    <n v="0"/>
    <s v="Long"/>
  </r>
  <r>
    <n v="1130"/>
    <n v="81"/>
    <s v="Female"/>
    <s v="General Medicine"/>
    <d v="2023-05-10T00:00:00"/>
    <n v="5"/>
    <n v="3"/>
    <n v="1"/>
    <n v="163"/>
    <n v="133"/>
    <n v="2"/>
    <n v="1"/>
    <s v="Senior"/>
    <n v="4"/>
    <n v="0"/>
    <n v="0"/>
    <s v="Medium"/>
  </r>
  <r>
    <n v="1131"/>
    <n v="81"/>
    <s v="Female"/>
    <s v="Cardiology"/>
    <d v="2023-05-11T00:00:00"/>
    <n v="14"/>
    <n v="1"/>
    <n v="2"/>
    <n v="228"/>
    <n v="134"/>
    <n v="4"/>
    <n v="0"/>
    <s v="Senior"/>
    <n v="3"/>
    <n v="0"/>
    <n v="1"/>
    <s v="Long"/>
  </r>
  <r>
    <n v="1132"/>
    <n v="20"/>
    <s v="Male"/>
    <s v="Orthopedics"/>
    <d v="2023-05-12T00:00:00"/>
    <n v="12"/>
    <n v="1"/>
    <n v="4"/>
    <n v="93"/>
    <n v="136"/>
    <n v="2"/>
    <n v="1"/>
    <s v="Young"/>
    <n v="5"/>
    <n v="0"/>
    <n v="0"/>
    <s v="Long"/>
  </r>
  <r>
    <n v="1133"/>
    <n v="46"/>
    <s v="Male"/>
    <s v="Orthopedics"/>
    <d v="2023-05-13T00:00:00"/>
    <n v="14"/>
    <n v="4"/>
    <n v="4"/>
    <n v="217"/>
    <n v="102"/>
    <n v="8"/>
    <n v="1"/>
    <s v="Middle-Aged"/>
    <n v="8"/>
    <n v="0"/>
    <n v="1"/>
    <s v="Long"/>
  </r>
  <r>
    <n v="1134"/>
    <n v="81"/>
    <s v="Female"/>
    <s v="Cardiology"/>
    <d v="2023-05-14T00:00:00"/>
    <n v="3"/>
    <n v="4"/>
    <n v="0"/>
    <n v="106"/>
    <n v="111"/>
    <n v="3"/>
    <n v="0"/>
    <s v="Senior"/>
    <n v="4"/>
    <n v="0"/>
    <n v="0"/>
    <s v="Short "/>
  </r>
  <r>
    <n v="1135"/>
    <n v="22"/>
    <s v="Male"/>
    <s v="Oncology"/>
    <d v="2023-05-15T00:00:00"/>
    <n v="5"/>
    <n v="1"/>
    <n v="5"/>
    <n v="73"/>
    <n v="110"/>
    <n v="9"/>
    <n v="0"/>
    <s v="Young"/>
    <n v="6"/>
    <n v="0"/>
    <n v="0"/>
    <s v="Medium"/>
  </r>
  <r>
    <n v="1136"/>
    <n v="89"/>
    <s v="Female"/>
    <s v="Cardiology"/>
    <d v="2023-05-16T00:00:00"/>
    <n v="5"/>
    <n v="4"/>
    <n v="2"/>
    <n v="177"/>
    <n v="175"/>
    <n v="4"/>
    <n v="1"/>
    <s v="Senior"/>
    <n v="6"/>
    <n v="1"/>
    <n v="0"/>
    <s v="Medium"/>
  </r>
  <r>
    <n v="1137"/>
    <n v="46"/>
    <s v="Female"/>
    <s v="General Medicine"/>
    <d v="2023-05-17T00:00:00"/>
    <n v="5"/>
    <n v="2"/>
    <n v="3"/>
    <n v="195"/>
    <n v="98"/>
    <n v="6"/>
    <n v="0"/>
    <s v="Middle-Aged"/>
    <n v="5"/>
    <n v="0"/>
    <n v="1"/>
    <s v="Medium"/>
  </r>
  <r>
    <n v="1138"/>
    <n v="28"/>
    <s v="Male"/>
    <s v="Cardiology"/>
    <d v="2023-05-18T00:00:00"/>
    <n v="3"/>
    <n v="1"/>
    <n v="0"/>
    <n v="89"/>
    <n v="115"/>
    <n v="10"/>
    <n v="1"/>
    <s v="Young"/>
    <n v="1"/>
    <n v="0"/>
    <n v="0"/>
    <s v="Short "/>
  </r>
  <r>
    <n v="1139"/>
    <n v="81"/>
    <s v="Male"/>
    <s v="Orthopedics"/>
    <d v="2023-05-19T00:00:00"/>
    <n v="11"/>
    <n v="4"/>
    <n v="2"/>
    <n v="221"/>
    <n v="98"/>
    <n v="5"/>
    <n v="0"/>
    <s v="Senior"/>
    <n v="6"/>
    <n v="0"/>
    <n v="1"/>
    <s v="Long"/>
  </r>
  <r>
    <n v="1140"/>
    <n v="56"/>
    <s v="Female"/>
    <s v="Cardiology"/>
    <d v="2023-05-20T00:00:00"/>
    <n v="14"/>
    <n v="1"/>
    <n v="2"/>
    <n v="119"/>
    <n v="104"/>
    <n v="10"/>
    <n v="0"/>
    <s v="Middle-Aged"/>
    <n v="3"/>
    <n v="0"/>
    <n v="0"/>
    <s v="Long"/>
  </r>
  <r>
    <n v="1141"/>
    <n v="70"/>
    <s v="Female"/>
    <s v="Oncology"/>
    <d v="2023-05-21T00:00:00"/>
    <n v="10"/>
    <n v="3"/>
    <n v="0"/>
    <n v="246"/>
    <n v="99"/>
    <n v="1"/>
    <n v="0"/>
    <s v="Senior"/>
    <n v="3"/>
    <n v="0"/>
    <n v="1"/>
    <s v="Long"/>
  </r>
  <r>
    <n v="1142"/>
    <n v="63"/>
    <s v="Female"/>
    <s v="Neurology"/>
    <d v="2023-05-22T00:00:00"/>
    <n v="14"/>
    <n v="0"/>
    <n v="4"/>
    <n v="248"/>
    <n v="177"/>
    <n v="9"/>
    <n v="1"/>
    <s v="Senior"/>
    <n v="4"/>
    <n v="1"/>
    <n v="1"/>
    <s v="Long"/>
  </r>
  <r>
    <n v="1143"/>
    <n v="43"/>
    <s v="Male"/>
    <s v="Cardiology"/>
    <d v="2023-05-23T00:00:00"/>
    <n v="4"/>
    <n v="1"/>
    <n v="2"/>
    <n v="165"/>
    <n v="131"/>
    <n v="1"/>
    <n v="1"/>
    <s v="Adult"/>
    <n v="3"/>
    <n v="0"/>
    <n v="0"/>
    <s v="Medium"/>
  </r>
  <r>
    <n v="1144"/>
    <n v="78"/>
    <s v="Female"/>
    <s v="Oncology"/>
    <d v="2023-05-24T00:00:00"/>
    <n v="9"/>
    <n v="0"/>
    <n v="4"/>
    <n v="174"/>
    <n v="161"/>
    <n v="8"/>
    <n v="0"/>
    <s v="Senior"/>
    <n v="4"/>
    <n v="1"/>
    <n v="0"/>
    <s v="Long"/>
  </r>
  <r>
    <n v="1145"/>
    <n v="51"/>
    <s v="Female"/>
    <s v="Oncology"/>
    <d v="2023-05-25T00:00:00"/>
    <n v="13"/>
    <n v="4"/>
    <n v="0"/>
    <n v="233"/>
    <n v="113"/>
    <n v="9"/>
    <n v="0"/>
    <s v="Middle-Aged"/>
    <n v="4"/>
    <n v="0"/>
    <n v="1"/>
    <s v="Long"/>
  </r>
  <r>
    <n v="1146"/>
    <n v="71"/>
    <s v="Female"/>
    <s v="Orthopedics"/>
    <d v="2023-05-26T00:00:00"/>
    <n v="10"/>
    <n v="0"/>
    <n v="4"/>
    <n v="186"/>
    <n v="169"/>
    <n v="9"/>
    <n v="1"/>
    <s v="Senior"/>
    <n v="4"/>
    <n v="1"/>
    <n v="1"/>
    <s v="Long"/>
  </r>
  <r>
    <n v="1147"/>
    <n v="81"/>
    <s v="Male"/>
    <s v="Oncology"/>
    <d v="2023-05-27T00:00:00"/>
    <n v="9"/>
    <n v="1"/>
    <n v="1"/>
    <n v="167"/>
    <n v="138"/>
    <n v="1"/>
    <n v="0"/>
    <s v="Senior"/>
    <n v="2"/>
    <n v="0"/>
    <n v="0"/>
    <s v="Long"/>
  </r>
  <r>
    <n v="1148"/>
    <n v="77"/>
    <s v="Female"/>
    <s v="Oncology"/>
    <d v="2023-05-28T00:00:00"/>
    <n v="2"/>
    <n v="3"/>
    <n v="3"/>
    <n v="135"/>
    <n v="115"/>
    <n v="2"/>
    <n v="0"/>
    <s v="Senior"/>
    <n v="6"/>
    <n v="0"/>
    <n v="0"/>
    <s v="Short "/>
  </r>
  <r>
    <n v="1149"/>
    <n v="71"/>
    <s v="Female"/>
    <s v="Oncology"/>
    <d v="2023-05-29T00:00:00"/>
    <n v="8"/>
    <n v="4"/>
    <n v="2"/>
    <n v="148"/>
    <n v="126"/>
    <n v="1"/>
    <n v="0"/>
    <s v="Senior"/>
    <n v="6"/>
    <n v="0"/>
    <n v="0"/>
    <s v="Long"/>
  </r>
  <r>
    <n v="1150"/>
    <n v="31"/>
    <s v="Male"/>
    <s v="Oncology"/>
    <d v="2023-05-30T00:00:00"/>
    <n v="8"/>
    <n v="1"/>
    <n v="5"/>
    <n v="231"/>
    <n v="157"/>
    <n v="10"/>
    <n v="0"/>
    <s v="Adult"/>
    <n v="6"/>
    <n v="1"/>
    <n v="1"/>
    <s v="Long"/>
  </r>
  <r>
    <n v="1151"/>
    <n v="58"/>
    <s v="Female"/>
    <s v="General Medicine"/>
    <d v="2023-05-31T00:00:00"/>
    <n v="7"/>
    <n v="4"/>
    <n v="3"/>
    <n v="233"/>
    <n v="139"/>
    <n v="2"/>
    <n v="1"/>
    <s v="Middle-Aged"/>
    <n v="7"/>
    <n v="0"/>
    <n v="1"/>
    <s v="Medium"/>
  </r>
  <r>
    <n v="1152"/>
    <n v="21"/>
    <s v="Female"/>
    <s v="General Medicine"/>
    <d v="2023-06-01T00:00:00"/>
    <n v="8"/>
    <n v="2"/>
    <n v="4"/>
    <n v="75"/>
    <n v="113"/>
    <n v="10"/>
    <n v="0"/>
    <s v="Young"/>
    <n v="6"/>
    <n v="0"/>
    <n v="0"/>
    <s v="Long"/>
  </r>
  <r>
    <n v="1153"/>
    <n v="22"/>
    <s v="Male"/>
    <s v="Orthopedics"/>
    <d v="2023-06-02T00:00:00"/>
    <n v="14"/>
    <n v="0"/>
    <n v="2"/>
    <n v="108"/>
    <n v="108"/>
    <n v="8"/>
    <n v="0"/>
    <s v="Young"/>
    <n v="2"/>
    <n v="0"/>
    <n v="0"/>
    <s v="Long"/>
  </r>
  <r>
    <n v="1154"/>
    <n v="75"/>
    <s v="Female"/>
    <s v="Cardiology"/>
    <d v="2023-06-03T00:00:00"/>
    <n v="3"/>
    <n v="2"/>
    <n v="4"/>
    <n v="239"/>
    <n v="149"/>
    <n v="5"/>
    <n v="0"/>
    <s v="Senior"/>
    <n v="6"/>
    <n v="1"/>
    <n v="1"/>
    <s v="Short "/>
  </r>
  <r>
    <n v="1155"/>
    <n v="78"/>
    <s v="Male"/>
    <s v="Oncology"/>
    <d v="2023-06-04T00:00:00"/>
    <n v="13"/>
    <n v="1"/>
    <n v="1"/>
    <n v="184"/>
    <n v="128"/>
    <n v="11"/>
    <n v="1"/>
    <s v="Senior"/>
    <n v="2"/>
    <n v="0"/>
    <n v="1"/>
    <s v="Long"/>
  </r>
  <r>
    <n v="1156"/>
    <n v="21"/>
    <s v="Male"/>
    <s v="Cardiology"/>
    <d v="2023-06-05T00:00:00"/>
    <n v="6"/>
    <n v="3"/>
    <n v="0"/>
    <n v="194"/>
    <n v="163"/>
    <n v="7"/>
    <n v="0"/>
    <s v="Young"/>
    <n v="3"/>
    <n v="1"/>
    <n v="1"/>
    <s v="Medium"/>
  </r>
  <r>
    <n v="1157"/>
    <n v="21"/>
    <s v="Female"/>
    <s v="Cardiology"/>
    <d v="2023-06-06T00:00:00"/>
    <n v="1"/>
    <n v="4"/>
    <n v="2"/>
    <n v="81"/>
    <n v="178"/>
    <n v="2"/>
    <n v="0"/>
    <s v="Young"/>
    <n v="6"/>
    <n v="1"/>
    <n v="0"/>
    <s v="Short "/>
  </r>
  <r>
    <n v="1158"/>
    <n v="73"/>
    <s v="Female"/>
    <s v="Orthopedics"/>
    <d v="2023-06-07T00:00:00"/>
    <n v="7"/>
    <n v="0"/>
    <n v="1"/>
    <n v="200"/>
    <n v="107"/>
    <n v="8"/>
    <n v="0"/>
    <s v="Senior"/>
    <n v="1"/>
    <n v="0"/>
    <n v="1"/>
    <s v="Medium"/>
  </r>
  <r>
    <n v="1159"/>
    <n v="20"/>
    <s v="Female"/>
    <s v="Oncology"/>
    <d v="2023-06-08T00:00:00"/>
    <n v="1"/>
    <n v="4"/>
    <n v="1"/>
    <n v="87"/>
    <n v="108"/>
    <n v="11"/>
    <n v="1"/>
    <s v="Young"/>
    <n v="5"/>
    <n v="0"/>
    <n v="0"/>
    <s v="Short "/>
  </r>
  <r>
    <n v="1160"/>
    <n v="38"/>
    <s v="Female"/>
    <s v="Oncology"/>
    <d v="2023-06-09T00:00:00"/>
    <n v="9"/>
    <n v="1"/>
    <n v="2"/>
    <n v="109"/>
    <n v="125"/>
    <n v="6"/>
    <n v="0"/>
    <s v="Adult"/>
    <n v="3"/>
    <n v="0"/>
    <n v="0"/>
    <s v="Long"/>
  </r>
  <r>
    <n v="1161"/>
    <n v="21"/>
    <s v="Male"/>
    <s v="Neurology"/>
    <d v="2023-06-10T00:00:00"/>
    <n v="1"/>
    <n v="4"/>
    <n v="4"/>
    <n v="90"/>
    <n v="163"/>
    <n v="8"/>
    <n v="0"/>
    <s v="Young"/>
    <n v="8"/>
    <n v="1"/>
    <n v="0"/>
    <s v="Short "/>
  </r>
  <r>
    <n v="1162"/>
    <n v="72"/>
    <s v="Female"/>
    <s v="Cardiology"/>
    <d v="2023-06-11T00:00:00"/>
    <n v="1"/>
    <n v="0"/>
    <n v="5"/>
    <n v="212"/>
    <n v="144"/>
    <n v="1"/>
    <n v="0"/>
    <s v="Senior"/>
    <n v="5"/>
    <n v="1"/>
    <n v="1"/>
    <s v="Short "/>
  </r>
  <r>
    <n v="1163"/>
    <n v="63"/>
    <s v="Male"/>
    <s v="Cardiology"/>
    <d v="2023-06-12T00:00:00"/>
    <n v="7"/>
    <n v="1"/>
    <n v="1"/>
    <n v="168"/>
    <n v="158"/>
    <n v="1"/>
    <n v="0"/>
    <s v="Senior"/>
    <n v="2"/>
    <n v="1"/>
    <n v="0"/>
    <s v="Medium"/>
  </r>
  <r>
    <n v="1164"/>
    <n v="51"/>
    <s v="Female"/>
    <s v="General Medicine"/>
    <d v="2023-06-13T00:00:00"/>
    <n v="2"/>
    <n v="4"/>
    <n v="3"/>
    <n v="95"/>
    <n v="136"/>
    <n v="7"/>
    <n v="0"/>
    <s v="Middle-Aged"/>
    <n v="7"/>
    <n v="0"/>
    <n v="0"/>
    <s v="Short "/>
  </r>
  <r>
    <n v="1165"/>
    <n v="89"/>
    <s v="Female"/>
    <s v="Neurology"/>
    <d v="2023-06-14T00:00:00"/>
    <n v="14"/>
    <n v="3"/>
    <n v="1"/>
    <n v="77"/>
    <n v="138"/>
    <n v="8"/>
    <n v="1"/>
    <s v="Senior"/>
    <n v="4"/>
    <n v="0"/>
    <n v="0"/>
    <s v="Long"/>
  </r>
  <r>
    <n v="1166"/>
    <n v="51"/>
    <s v="Female"/>
    <s v="General Medicine"/>
    <d v="2023-06-15T00:00:00"/>
    <n v="5"/>
    <n v="1"/>
    <n v="5"/>
    <n v="169"/>
    <n v="122"/>
    <n v="3"/>
    <n v="0"/>
    <s v="Middle-Aged"/>
    <n v="6"/>
    <n v="0"/>
    <n v="0"/>
    <s v="Medium"/>
  </r>
  <r>
    <n v="1167"/>
    <n v="87"/>
    <s v="Male"/>
    <s v="General Medicine"/>
    <d v="2023-06-16T00:00:00"/>
    <n v="8"/>
    <n v="1"/>
    <n v="4"/>
    <n v="156"/>
    <n v="110"/>
    <n v="5"/>
    <n v="1"/>
    <s v="Senior"/>
    <n v="5"/>
    <n v="0"/>
    <n v="0"/>
    <s v="Long"/>
  </r>
  <r>
    <n v="1168"/>
    <n v="74"/>
    <s v="Female"/>
    <s v="General Medicine"/>
    <d v="2023-06-17T00:00:00"/>
    <n v="8"/>
    <n v="3"/>
    <n v="4"/>
    <n v="111"/>
    <n v="170"/>
    <n v="1"/>
    <n v="0"/>
    <s v="Senior"/>
    <n v="7"/>
    <n v="1"/>
    <n v="0"/>
    <s v="Long"/>
  </r>
  <r>
    <n v="1169"/>
    <n v="75"/>
    <s v="Female"/>
    <s v="Orthopedics"/>
    <d v="2023-06-18T00:00:00"/>
    <n v="3"/>
    <n v="2"/>
    <n v="3"/>
    <n v="241"/>
    <n v="111"/>
    <n v="7"/>
    <n v="1"/>
    <s v="Senior"/>
    <n v="5"/>
    <n v="0"/>
    <n v="1"/>
    <s v="Short "/>
  </r>
  <r>
    <n v="1170"/>
    <n v="36"/>
    <s v="Female"/>
    <s v="Orthopedics"/>
    <d v="2023-06-19T00:00:00"/>
    <n v="7"/>
    <n v="0"/>
    <n v="1"/>
    <n v="83"/>
    <n v="137"/>
    <n v="5"/>
    <n v="0"/>
    <s v="Adult"/>
    <n v="1"/>
    <n v="0"/>
    <n v="0"/>
    <s v="Medium"/>
  </r>
  <r>
    <n v="1171"/>
    <n v="57"/>
    <s v="Female"/>
    <s v="General Medicine"/>
    <d v="2023-06-20T00:00:00"/>
    <n v="3"/>
    <n v="2"/>
    <n v="4"/>
    <n v="147"/>
    <n v="126"/>
    <n v="8"/>
    <n v="0"/>
    <s v="Middle-Aged"/>
    <n v="6"/>
    <n v="0"/>
    <n v="0"/>
    <s v="Short "/>
  </r>
  <r>
    <n v="1172"/>
    <n v="43"/>
    <s v="Male"/>
    <s v="Neurology"/>
    <d v="2023-06-21T00:00:00"/>
    <n v="6"/>
    <n v="4"/>
    <n v="5"/>
    <n v="71"/>
    <n v="104"/>
    <n v="8"/>
    <n v="1"/>
    <s v="Adult"/>
    <n v="9"/>
    <n v="0"/>
    <n v="0"/>
    <s v="Medium"/>
  </r>
  <r>
    <n v="1173"/>
    <n v="88"/>
    <s v="Female"/>
    <s v="Cardiology"/>
    <d v="2023-06-22T00:00:00"/>
    <n v="6"/>
    <n v="3"/>
    <n v="2"/>
    <n v="188"/>
    <n v="124"/>
    <n v="9"/>
    <n v="1"/>
    <s v="Senior"/>
    <n v="5"/>
    <n v="0"/>
    <n v="1"/>
    <s v="Medium"/>
  </r>
  <r>
    <n v="1174"/>
    <n v="89"/>
    <s v="Male"/>
    <s v="Neurology"/>
    <d v="2023-06-23T00:00:00"/>
    <n v="3"/>
    <n v="2"/>
    <n v="0"/>
    <n v="106"/>
    <n v="160"/>
    <n v="7"/>
    <n v="0"/>
    <s v="Senior"/>
    <n v="2"/>
    <n v="1"/>
    <n v="0"/>
    <s v="Short "/>
  </r>
  <r>
    <n v="1175"/>
    <n v="30"/>
    <s v="Male"/>
    <s v="Oncology"/>
    <d v="2023-06-24T00:00:00"/>
    <n v="7"/>
    <n v="1"/>
    <n v="0"/>
    <n v="138"/>
    <n v="121"/>
    <n v="11"/>
    <n v="0"/>
    <s v="Adult"/>
    <n v="1"/>
    <n v="0"/>
    <n v="0"/>
    <s v="Medium"/>
  </r>
  <r>
    <n v="1176"/>
    <n v="35"/>
    <s v="Male"/>
    <s v="Orthopedics"/>
    <d v="2023-06-25T00:00:00"/>
    <n v="3"/>
    <n v="4"/>
    <n v="0"/>
    <n v="235"/>
    <n v="100"/>
    <n v="1"/>
    <n v="1"/>
    <s v="Adult"/>
    <n v="4"/>
    <n v="0"/>
    <n v="1"/>
    <s v="Short "/>
  </r>
  <r>
    <n v="1177"/>
    <n v="78"/>
    <s v="Male"/>
    <s v="Cardiology"/>
    <d v="2023-06-26T00:00:00"/>
    <n v="8"/>
    <n v="4"/>
    <n v="1"/>
    <n v="110"/>
    <n v="99"/>
    <n v="3"/>
    <n v="0"/>
    <s v="Senior"/>
    <n v="5"/>
    <n v="0"/>
    <n v="0"/>
    <s v="Long"/>
  </r>
  <r>
    <n v="1178"/>
    <n v="89"/>
    <s v="Male"/>
    <s v="Cardiology"/>
    <d v="2023-06-27T00:00:00"/>
    <n v="10"/>
    <n v="2"/>
    <n v="3"/>
    <n v="131"/>
    <n v="162"/>
    <n v="8"/>
    <n v="1"/>
    <s v="Senior"/>
    <n v="5"/>
    <n v="1"/>
    <n v="0"/>
    <s v="Long"/>
  </r>
  <r>
    <n v="1179"/>
    <n v="22"/>
    <s v="Male"/>
    <s v="Oncology"/>
    <d v="2023-06-28T00:00:00"/>
    <n v="4"/>
    <n v="2"/>
    <n v="4"/>
    <n v="129"/>
    <n v="167"/>
    <n v="3"/>
    <n v="1"/>
    <s v="Young"/>
    <n v="6"/>
    <n v="1"/>
    <n v="0"/>
    <s v="Medium"/>
  </r>
  <r>
    <n v="1180"/>
    <n v="39"/>
    <s v="Female"/>
    <s v="Oncology"/>
    <d v="2023-06-29T00:00:00"/>
    <n v="13"/>
    <n v="3"/>
    <n v="2"/>
    <n v="194"/>
    <n v="166"/>
    <n v="8"/>
    <n v="0"/>
    <s v="Adult"/>
    <n v="5"/>
    <n v="1"/>
    <n v="1"/>
    <s v="Long"/>
  </r>
  <r>
    <n v="1181"/>
    <n v="78"/>
    <s v="Male"/>
    <s v="General Medicine"/>
    <d v="2023-06-30T00:00:00"/>
    <n v="1"/>
    <n v="0"/>
    <n v="5"/>
    <n v="180"/>
    <n v="146"/>
    <n v="1"/>
    <n v="0"/>
    <s v="Senior"/>
    <n v="5"/>
    <n v="1"/>
    <n v="1"/>
    <s v="Short "/>
  </r>
  <r>
    <n v="1182"/>
    <n v="55"/>
    <s v="Male"/>
    <s v="Orthopedics"/>
    <d v="2023-07-01T00:00:00"/>
    <n v="4"/>
    <n v="2"/>
    <n v="2"/>
    <n v="83"/>
    <n v="114"/>
    <n v="5"/>
    <n v="0"/>
    <s v="Middle-Aged"/>
    <n v="4"/>
    <n v="0"/>
    <n v="0"/>
    <s v="Medium"/>
  </r>
  <r>
    <n v="1183"/>
    <n v="38"/>
    <s v="Male"/>
    <s v="Orthopedics"/>
    <d v="2023-07-02T00:00:00"/>
    <n v="14"/>
    <n v="2"/>
    <n v="5"/>
    <n v="153"/>
    <n v="91"/>
    <n v="4"/>
    <n v="0"/>
    <s v="Adult"/>
    <n v="7"/>
    <n v="0"/>
    <n v="0"/>
    <s v="Long"/>
  </r>
  <r>
    <n v="1184"/>
    <n v="86"/>
    <s v="Female"/>
    <s v="Neurology"/>
    <d v="2023-07-03T00:00:00"/>
    <n v="7"/>
    <n v="1"/>
    <n v="1"/>
    <n v="199"/>
    <n v="153"/>
    <n v="5"/>
    <n v="0"/>
    <s v="Senior"/>
    <n v="2"/>
    <n v="1"/>
    <n v="1"/>
    <s v="Medium"/>
  </r>
  <r>
    <n v="1185"/>
    <n v="38"/>
    <s v="Female"/>
    <s v="General Medicine"/>
    <d v="2023-07-04T00:00:00"/>
    <n v="11"/>
    <n v="4"/>
    <n v="0"/>
    <n v="139"/>
    <n v="124"/>
    <n v="8"/>
    <n v="1"/>
    <s v="Adult"/>
    <n v="4"/>
    <n v="0"/>
    <n v="0"/>
    <s v="Long"/>
  </r>
  <r>
    <n v="1186"/>
    <n v="39"/>
    <s v="Male"/>
    <s v="General Medicine"/>
    <d v="2023-07-05T00:00:00"/>
    <n v="4"/>
    <n v="0"/>
    <n v="1"/>
    <n v="214"/>
    <n v="96"/>
    <n v="10"/>
    <n v="0"/>
    <s v="Adult"/>
    <n v="1"/>
    <n v="0"/>
    <n v="1"/>
    <s v="Medium"/>
  </r>
  <r>
    <n v="1187"/>
    <n v="71"/>
    <s v="Female"/>
    <s v="General Medicine"/>
    <d v="2023-07-06T00:00:00"/>
    <n v="13"/>
    <n v="1"/>
    <n v="3"/>
    <n v="192"/>
    <n v="174"/>
    <n v="4"/>
    <n v="1"/>
    <s v="Senior"/>
    <n v="4"/>
    <n v="1"/>
    <n v="1"/>
    <s v="Long"/>
  </r>
  <r>
    <n v="1188"/>
    <n v="52"/>
    <s v="Male"/>
    <s v="General Medicine"/>
    <d v="2023-07-07T00:00:00"/>
    <n v="6"/>
    <n v="3"/>
    <n v="3"/>
    <n v="158"/>
    <n v="107"/>
    <n v="11"/>
    <n v="0"/>
    <s v="Middle-Aged"/>
    <n v="6"/>
    <n v="0"/>
    <n v="0"/>
    <s v="Medium"/>
  </r>
  <r>
    <n v="1189"/>
    <n v="59"/>
    <s v="Male"/>
    <s v="Orthopedics"/>
    <d v="2023-07-08T00:00:00"/>
    <n v="9"/>
    <n v="3"/>
    <n v="5"/>
    <n v="97"/>
    <n v="156"/>
    <n v="4"/>
    <n v="0"/>
    <s v="Middle-Aged"/>
    <n v="8"/>
    <n v="1"/>
    <n v="0"/>
    <s v="Long"/>
  </r>
  <r>
    <n v="1190"/>
    <n v="58"/>
    <s v="Female"/>
    <s v="Orthopedics"/>
    <d v="2023-07-09T00:00:00"/>
    <n v="1"/>
    <n v="2"/>
    <n v="4"/>
    <n v="135"/>
    <n v="131"/>
    <n v="3"/>
    <n v="0"/>
    <s v="Middle-Aged"/>
    <n v="6"/>
    <n v="0"/>
    <n v="0"/>
    <s v="Short "/>
  </r>
  <r>
    <n v="1191"/>
    <n v="20"/>
    <s v="Male"/>
    <s v="General Medicine"/>
    <d v="2023-07-10T00:00:00"/>
    <n v="13"/>
    <n v="2"/>
    <n v="4"/>
    <n v="232"/>
    <n v="128"/>
    <n v="7"/>
    <n v="0"/>
    <s v="Young"/>
    <n v="6"/>
    <n v="0"/>
    <n v="1"/>
    <s v="Long"/>
  </r>
  <r>
    <n v="1192"/>
    <n v="30"/>
    <s v="Female"/>
    <s v="Neurology"/>
    <d v="2023-07-11T00:00:00"/>
    <n v="5"/>
    <n v="3"/>
    <n v="5"/>
    <n v="74"/>
    <n v="130"/>
    <n v="3"/>
    <n v="0"/>
    <s v="Adult"/>
    <n v="8"/>
    <n v="0"/>
    <n v="0"/>
    <s v="Medium"/>
  </r>
  <r>
    <n v="1193"/>
    <n v="76"/>
    <s v="Female"/>
    <s v="Cardiology"/>
    <d v="2023-07-12T00:00:00"/>
    <n v="11"/>
    <n v="2"/>
    <n v="3"/>
    <n v="237"/>
    <n v="164"/>
    <n v="3"/>
    <n v="0"/>
    <s v="Senior"/>
    <n v="5"/>
    <n v="1"/>
    <n v="1"/>
    <s v="Long"/>
  </r>
  <r>
    <n v="1194"/>
    <n v="69"/>
    <s v="Male"/>
    <s v="Cardiology"/>
    <d v="2023-07-13T00:00:00"/>
    <n v="7"/>
    <n v="0"/>
    <n v="3"/>
    <n v="233"/>
    <n v="113"/>
    <n v="11"/>
    <n v="1"/>
    <s v="Senior"/>
    <n v="3"/>
    <n v="0"/>
    <n v="1"/>
    <s v="Medium"/>
  </r>
  <r>
    <n v="1195"/>
    <n v="42"/>
    <s v="Male"/>
    <s v="Neurology"/>
    <d v="2023-07-14T00:00:00"/>
    <n v="1"/>
    <n v="2"/>
    <n v="3"/>
    <n v="114"/>
    <n v="149"/>
    <n v="10"/>
    <n v="0"/>
    <s v="Adult"/>
    <n v="5"/>
    <n v="1"/>
    <n v="0"/>
    <s v="Short "/>
  </r>
  <r>
    <n v="1196"/>
    <n v="50"/>
    <s v="Female"/>
    <s v="General Medicine"/>
    <d v="2023-07-15T00:00:00"/>
    <n v="14"/>
    <n v="4"/>
    <n v="1"/>
    <n v="220"/>
    <n v="135"/>
    <n v="5"/>
    <n v="0"/>
    <s v="Middle-Aged"/>
    <n v="5"/>
    <n v="0"/>
    <n v="1"/>
    <s v="Long"/>
  </r>
  <r>
    <n v="1197"/>
    <n v="61"/>
    <s v="Male"/>
    <s v="Orthopedics"/>
    <d v="2023-07-16T00:00:00"/>
    <n v="4"/>
    <n v="2"/>
    <n v="3"/>
    <n v="116"/>
    <n v="108"/>
    <n v="5"/>
    <n v="0"/>
    <s v="Senior"/>
    <n v="5"/>
    <n v="0"/>
    <n v="0"/>
    <s v="Medium"/>
  </r>
  <r>
    <n v="1198"/>
    <n v="26"/>
    <s v="Male"/>
    <s v="Cardiology"/>
    <d v="2023-07-17T00:00:00"/>
    <n v="6"/>
    <n v="1"/>
    <n v="2"/>
    <n v="100"/>
    <n v="157"/>
    <n v="6"/>
    <n v="0"/>
    <s v="Young"/>
    <n v="3"/>
    <n v="1"/>
    <n v="0"/>
    <s v="Medium"/>
  </r>
  <r>
    <n v="1199"/>
    <n v="35"/>
    <s v="Male"/>
    <s v="Oncology"/>
    <d v="2023-07-18T00:00:00"/>
    <n v="2"/>
    <n v="0"/>
    <n v="0"/>
    <n v="208"/>
    <n v="179"/>
    <n v="8"/>
    <n v="0"/>
    <s v="Adult"/>
    <n v="0"/>
    <n v="1"/>
    <n v="1"/>
    <s v="Short "/>
  </r>
  <r>
    <n v="1200"/>
    <n v="79"/>
    <s v="Female"/>
    <s v="Oncology"/>
    <d v="2023-07-19T00:00:00"/>
    <n v="10"/>
    <n v="1"/>
    <n v="3"/>
    <n v="79"/>
    <n v="131"/>
    <n v="10"/>
    <n v="0"/>
    <s v="Senior"/>
    <n v="4"/>
    <n v="0"/>
    <n v="0"/>
    <s v="Long"/>
  </r>
  <r>
    <n v="1201"/>
    <n v="21"/>
    <s v="Female"/>
    <s v="Neurology"/>
    <d v="2023-07-20T00:00:00"/>
    <n v="5"/>
    <n v="1"/>
    <n v="5"/>
    <n v="187"/>
    <n v="121"/>
    <n v="6"/>
    <n v="0"/>
    <s v="Young"/>
    <n v="6"/>
    <n v="0"/>
    <n v="1"/>
    <s v="Medium"/>
  </r>
  <r>
    <n v="1202"/>
    <n v="20"/>
    <s v="Male"/>
    <s v="General Medicine"/>
    <d v="2023-07-21T00:00:00"/>
    <n v="11"/>
    <n v="4"/>
    <n v="0"/>
    <n v="83"/>
    <n v="128"/>
    <n v="1"/>
    <n v="0"/>
    <s v="Young"/>
    <n v="4"/>
    <n v="0"/>
    <n v="0"/>
    <s v="Long"/>
  </r>
  <r>
    <n v="1203"/>
    <n v="67"/>
    <s v="Female"/>
    <s v="Cardiology"/>
    <d v="2023-07-22T00:00:00"/>
    <n v="10"/>
    <n v="0"/>
    <n v="1"/>
    <n v="149"/>
    <n v="125"/>
    <n v="8"/>
    <n v="0"/>
    <s v="Senior"/>
    <n v="1"/>
    <n v="0"/>
    <n v="0"/>
    <s v="Long"/>
  </r>
  <r>
    <n v="1204"/>
    <n v="31"/>
    <s v="Female"/>
    <s v="General Medicine"/>
    <d v="2023-07-23T00:00:00"/>
    <n v="1"/>
    <n v="0"/>
    <n v="5"/>
    <n v="162"/>
    <n v="125"/>
    <n v="8"/>
    <n v="1"/>
    <s v="Adult"/>
    <n v="5"/>
    <n v="0"/>
    <n v="0"/>
    <s v="Short "/>
  </r>
  <r>
    <n v="1205"/>
    <n v="88"/>
    <s v="Female"/>
    <s v="Cardiology"/>
    <d v="2023-07-24T00:00:00"/>
    <n v="6"/>
    <n v="0"/>
    <n v="0"/>
    <n v="79"/>
    <n v="92"/>
    <n v="9"/>
    <n v="0"/>
    <s v="Senior"/>
    <n v="0"/>
    <n v="0"/>
    <n v="0"/>
    <s v="Medium"/>
  </r>
  <r>
    <n v="1206"/>
    <n v="56"/>
    <s v="Female"/>
    <s v="Neurology"/>
    <d v="2023-07-25T00:00:00"/>
    <n v="6"/>
    <n v="0"/>
    <n v="5"/>
    <n v="145"/>
    <n v="162"/>
    <n v="9"/>
    <n v="0"/>
    <s v="Middle-Aged"/>
    <n v="5"/>
    <n v="1"/>
    <n v="0"/>
    <s v="Medium"/>
  </r>
  <r>
    <n v="1207"/>
    <n v="51"/>
    <s v="Female"/>
    <s v="Neurology"/>
    <d v="2023-07-26T00:00:00"/>
    <n v="13"/>
    <n v="0"/>
    <n v="1"/>
    <n v="163"/>
    <n v="97"/>
    <n v="2"/>
    <n v="0"/>
    <s v="Middle-Aged"/>
    <n v="1"/>
    <n v="0"/>
    <n v="0"/>
    <s v="Long"/>
  </r>
  <r>
    <n v="1208"/>
    <n v="28"/>
    <s v="Male"/>
    <s v="Oncology"/>
    <d v="2023-07-27T00:00:00"/>
    <n v="4"/>
    <n v="4"/>
    <n v="2"/>
    <n v="174"/>
    <n v="159"/>
    <n v="2"/>
    <n v="0"/>
    <s v="Young"/>
    <n v="6"/>
    <n v="1"/>
    <n v="0"/>
    <s v="Medium"/>
  </r>
  <r>
    <n v="1209"/>
    <n v="38"/>
    <s v="Male"/>
    <s v="General Medicine"/>
    <d v="2023-07-28T00:00:00"/>
    <n v="13"/>
    <n v="2"/>
    <n v="1"/>
    <n v="70"/>
    <n v="130"/>
    <n v="3"/>
    <n v="1"/>
    <s v="Adult"/>
    <n v="3"/>
    <n v="0"/>
    <n v="0"/>
    <s v="Long"/>
  </r>
  <r>
    <n v="1210"/>
    <n v="67"/>
    <s v="Male"/>
    <s v="Oncology"/>
    <d v="2023-07-29T00:00:00"/>
    <n v="8"/>
    <n v="1"/>
    <n v="1"/>
    <n v="202"/>
    <n v="157"/>
    <n v="1"/>
    <n v="0"/>
    <s v="Senior"/>
    <n v="2"/>
    <n v="1"/>
    <n v="1"/>
    <s v="Long"/>
  </r>
  <r>
    <n v="1211"/>
    <n v="22"/>
    <s v="Female"/>
    <s v="General Medicine"/>
    <d v="2023-07-30T00:00:00"/>
    <n v="4"/>
    <n v="0"/>
    <n v="5"/>
    <n v="89"/>
    <n v="102"/>
    <n v="4"/>
    <n v="0"/>
    <s v="Young"/>
    <n v="5"/>
    <n v="0"/>
    <n v="0"/>
    <s v="Medium"/>
  </r>
  <r>
    <n v="1212"/>
    <n v="39"/>
    <s v="Female"/>
    <s v="Oncology"/>
    <d v="2023-07-31T00:00:00"/>
    <n v="8"/>
    <n v="2"/>
    <n v="4"/>
    <n v="77"/>
    <n v="138"/>
    <n v="4"/>
    <n v="0"/>
    <s v="Adult"/>
    <n v="6"/>
    <n v="0"/>
    <n v="0"/>
    <s v="Long"/>
  </r>
  <r>
    <n v="1213"/>
    <n v="43"/>
    <s v="Male"/>
    <s v="Orthopedics"/>
    <d v="2023-08-01T00:00:00"/>
    <n v="13"/>
    <n v="2"/>
    <n v="3"/>
    <n v="240"/>
    <n v="149"/>
    <n v="9"/>
    <n v="0"/>
    <s v="Adult"/>
    <n v="5"/>
    <n v="1"/>
    <n v="1"/>
    <s v="Long"/>
  </r>
  <r>
    <n v="1214"/>
    <n v="73"/>
    <s v="Female"/>
    <s v="Orthopedics"/>
    <d v="2023-08-02T00:00:00"/>
    <n v="8"/>
    <n v="1"/>
    <n v="3"/>
    <n v="70"/>
    <n v="91"/>
    <n v="9"/>
    <n v="0"/>
    <s v="Senior"/>
    <n v="4"/>
    <n v="0"/>
    <n v="0"/>
    <s v="Long"/>
  </r>
  <r>
    <n v="1215"/>
    <n v="52"/>
    <s v="Male"/>
    <s v="Orthopedics"/>
    <d v="2023-08-03T00:00:00"/>
    <n v="5"/>
    <n v="4"/>
    <n v="2"/>
    <n v="126"/>
    <n v="149"/>
    <n v="9"/>
    <n v="0"/>
    <s v="Middle-Aged"/>
    <n v="6"/>
    <n v="1"/>
    <n v="0"/>
    <s v="Medium"/>
  </r>
  <r>
    <n v="1216"/>
    <n v="43"/>
    <s v="Male"/>
    <s v="Orthopedics"/>
    <d v="2023-08-04T00:00:00"/>
    <n v="13"/>
    <n v="3"/>
    <n v="2"/>
    <n v="133"/>
    <n v="94"/>
    <n v="10"/>
    <n v="1"/>
    <s v="Adult"/>
    <n v="5"/>
    <n v="0"/>
    <n v="0"/>
    <s v="Long"/>
  </r>
  <r>
    <n v="1217"/>
    <n v="55"/>
    <s v="Male"/>
    <s v="Cardiology"/>
    <d v="2023-08-05T00:00:00"/>
    <n v="4"/>
    <n v="3"/>
    <n v="3"/>
    <n v="187"/>
    <n v="133"/>
    <n v="7"/>
    <n v="0"/>
    <s v="Middle-Aged"/>
    <n v="6"/>
    <n v="0"/>
    <n v="1"/>
    <s v="Medium"/>
  </r>
  <r>
    <n v="1218"/>
    <n v="57"/>
    <s v="Female"/>
    <s v="Orthopedics"/>
    <d v="2023-08-06T00:00:00"/>
    <n v="12"/>
    <n v="2"/>
    <n v="4"/>
    <n v="97"/>
    <n v="116"/>
    <n v="2"/>
    <n v="0"/>
    <s v="Middle-Aged"/>
    <n v="6"/>
    <n v="0"/>
    <n v="0"/>
    <s v="Long"/>
  </r>
  <r>
    <n v="1219"/>
    <n v="44"/>
    <s v="Female"/>
    <s v="Neurology"/>
    <d v="2023-08-07T00:00:00"/>
    <n v="13"/>
    <n v="1"/>
    <n v="3"/>
    <n v="190"/>
    <n v="121"/>
    <n v="10"/>
    <n v="0"/>
    <s v="Adult"/>
    <n v="4"/>
    <n v="0"/>
    <n v="1"/>
    <s v="Long"/>
  </r>
  <r>
    <n v="1220"/>
    <n v="37"/>
    <s v="Male"/>
    <s v="Neurology"/>
    <d v="2023-08-08T00:00:00"/>
    <n v="2"/>
    <n v="3"/>
    <n v="4"/>
    <n v="176"/>
    <n v="110"/>
    <n v="5"/>
    <n v="0"/>
    <s v="Adult"/>
    <n v="7"/>
    <n v="0"/>
    <n v="0"/>
    <s v="Short "/>
  </r>
  <r>
    <n v="1221"/>
    <n v="85"/>
    <s v="Male"/>
    <s v="Cardiology"/>
    <d v="2023-08-09T00:00:00"/>
    <n v="11"/>
    <n v="2"/>
    <n v="2"/>
    <n v="234"/>
    <n v="97"/>
    <n v="4"/>
    <n v="0"/>
    <s v="Senior"/>
    <n v="4"/>
    <n v="0"/>
    <n v="1"/>
    <s v="Long"/>
  </r>
  <r>
    <n v="1222"/>
    <n v="73"/>
    <s v="Male"/>
    <s v="Orthopedics"/>
    <d v="2023-08-10T00:00:00"/>
    <n v="3"/>
    <n v="4"/>
    <n v="0"/>
    <n v="244"/>
    <n v="161"/>
    <n v="11"/>
    <n v="1"/>
    <s v="Senior"/>
    <n v="4"/>
    <n v="1"/>
    <n v="1"/>
    <s v="Short "/>
  </r>
  <r>
    <n v="1223"/>
    <n v="54"/>
    <s v="Male"/>
    <s v="Orthopedics"/>
    <d v="2023-08-11T00:00:00"/>
    <n v="3"/>
    <n v="3"/>
    <n v="5"/>
    <n v="234"/>
    <n v="139"/>
    <n v="8"/>
    <n v="1"/>
    <s v="Middle-Aged"/>
    <n v="8"/>
    <n v="0"/>
    <n v="1"/>
    <s v="Short "/>
  </r>
  <r>
    <n v="1224"/>
    <n v="80"/>
    <s v="Female"/>
    <s v="Orthopedics"/>
    <d v="2023-08-12T00:00:00"/>
    <n v="4"/>
    <n v="2"/>
    <n v="2"/>
    <n v="118"/>
    <n v="156"/>
    <n v="2"/>
    <n v="0"/>
    <s v="Senior"/>
    <n v="4"/>
    <n v="1"/>
    <n v="0"/>
    <s v="Medium"/>
  </r>
  <r>
    <n v="1225"/>
    <n v="60"/>
    <s v="Female"/>
    <s v="Oncology"/>
    <d v="2023-08-13T00:00:00"/>
    <n v="4"/>
    <n v="2"/>
    <n v="2"/>
    <n v="189"/>
    <n v="133"/>
    <n v="6"/>
    <n v="1"/>
    <s v="Senior"/>
    <n v="4"/>
    <n v="0"/>
    <n v="1"/>
    <s v="Medium"/>
  </r>
  <r>
    <n v="1226"/>
    <n v="52"/>
    <s v="Male"/>
    <s v="General Medicine"/>
    <d v="2023-08-14T00:00:00"/>
    <n v="10"/>
    <n v="0"/>
    <n v="1"/>
    <n v="113"/>
    <n v="147"/>
    <n v="5"/>
    <n v="1"/>
    <s v="Middle-Aged"/>
    <n v="1"/>
    <n v="1"/>
    <n v="0"/>
    <s v="Long"/>
  </r>
  <r>
    <n v="1227"/>
    <n v="87"/>
    <s v="Male"/>
    <s v="Oncology"/>
    <d v="2023-08-15T00:00:00"/>
    <n v="11"/>
    <n v="4"/>
    <n v="1"/>
    <n v="125"/>
    <n v="92"/>
    <n v="2"/>
    <n v="1"/>
    <s v="Senior"/>
    <n v="5"/>
    <n v="0"/>
    <n v="0"/>
    <s v="Long"/>
  </r>
  <r>
    <n v="1228"/>
    <n v="52"/>
    <s v="Female"/>
    <s v="General Medicine"/>
    <d v="2023-08-16T00:00:00"/>
    <n v="11"/>
    <n v="0"/>
    <n v="1"/>
    <n v="225"/>
    <n v="175"/>
    <n v="11"/>
    <n v="0"/>
    <s v="Middle-Aged"/>
    <n v="1"/>
    <n v="1"/>
    <n v="1"/>
    <s v="Long"/>
  </r>
  <r>
    <n v="1229"/>
    <n v="33"/>
    <s v="Female"/>
    <s v="Orthopedics"/>
    <d v="2023-08-17T00:00:00"/>
    <n v="5"/>
    <n v="1"/>
    <n v="5"/>
    <n v="180"/>
    <n v="159"/>
    <n v="10"/>
    <n v="1"/>
    <s v="Adult"/>
    <n v="6"/>
    <n v="1"/>
    <n v="1"/>
    <s v="Medium"/>
  </r>
  <r>
    <n v="1230"/>
    <n v="40"/>
    <s v="Male"/>
    <s v="Orthopedics"/>
    <d v="2023-08-18T00:00:00"/>
    <n v="4"/>
    <n v="0"/>
    <n v="1"/>
    <n v="203"/>
    <n v="91"/>
    <n v="1"/>
    <n v="0"/>
    <s v="Adult"/>
    <n v="1"/>
    <n v="0"/>
    <n v="1"/>
    <s v="Medium"/>
  </r>
  <r>
    <n v="1231"/>
    <n v="67"/>
    <s v="Male"/>
    <s v="Oncology"/>
    <d v="2023-08-19T00:00:00"/>
    <n v="11"/>
    <n v="0"/>
    <n v="4"/>
    <n v="177"/>
    <n v="176"/>
    <n v="8"/>
    <n v="1"/>
    <s v="Senior"/>
    <n v="4"/>
    <n v="1"/>
    <n v="0"/>
    <s v="Long"/>
  </r>
  <r>
    <n v="1232"/>
    <n v="39"/>
    <s v="Male"/>
    <s v="Oncology"/>
    <d v="2023-08-20T00:00:00"/>
    <n v="14"/>
    <n v="3"/>
    <n v="3"/>
    <n v="217"/>
    <n v="133"/>
    <n v="2"/>
    <n v="0"/>
    <s v="Adult"/>
    <n v="6"/>
    <n v="0"/>
    <n v="1"/>
    <s v="Long"/>
  </r>
  <r>
    <n v="1233"/>
    <n v="27"/>
    <s v="Female"/>
    <s v="General Medicine"/>
    <d v="2023-08-21T00:00:00"/>
    <n v="10"/>
    <n v="2"/>
    <n v="0"/>
    <n v="183"/>
    <n v="91"/>
    <n v="7"/>
    <n v="0"/>
    <s v="Young"/>
    <n v="2"/>
    <n v="0"/>
    <n v="1"/>
    <s v="Long"/>
  </r>
  <r>
    <n v="1234"/>
    <n v="26"/>
    <s v="Female"/>
    <s v="Neurology"/>
    <d v="2023-08-22T00:00:00"/>
    <n v="8"/>
    <n v="4"/>
    <n v="2"/>
    <n v="147"/>
    <n v="170"/>
    <n v="9"/>
    <n v="1"/>
    <s v="Young"/>
    <n v="6"/>
    <n v="1"/>
    <n v="0"/>
    <s v="Long"/>
  </r>
  <r>
    <n v="1235"/>
    <n v="86"/>
    <s v="Female"/>
    <s v="General Medicine"/>
    <d v="2023-08-23T00:00:00"/>
    <n v="6"/>
    <n v="0"/>
    <n v="4"/>
    <n v="199"/>
    <n v="124"/>
    <n v="9"/>
    <n v="0"/>
    <s v="Senior"/>
    <n v="4"/>
    <n v="0"/>
    <n v="1"/>
    <s v="Medium"/>
  </r>
  <r>
    <n v="1236"/>
    <n v="36"/>
    <s v="Male"/>
    <s v="Oncology"/>
    <d v="2023-08-24T00:00:00"/>
    <n v="6"/>
    <n v="4"/>
    <n v="0"/>
    <n v="106"/>
    <n v="176"/>
    <n v="8"/>
    <n v="1"/>
    <s v="Adult"/>
    <n v="4"/>
    <n v="1"/>
    <n v="0"/>
    <s v="Medium"/>
  </r>
  <r>
    <n v="1237"/>
    <n v="52"/>
    <s v="Male"/>
    <s v="Oncology"/>
    <d v="2023-08-25T00:00:00"/>
    <n v="8"/>
    <n v="0"/>
    <n v="4"/>
    <n v="89"/>
    <n v="119"/>
    <n v="11"/>
    <n v="1"/>
    <s v="Middle-Aged"/>
    <n v="4"/>
    <n v="0"/>
    <n v="0"/>
    <s v="Long"/>
  </r>
  <r>
    <n v="1238"/>
    <n v="67"/>
    <s v="Female"/>
    <s v="Cardiology"/>
    <d v="2023-08-26T00:00:00"/>
    <n v="7"/>
    <n v="1"/>
    <n v="4"/>
    <n v="95"/>
    <n v="97"/>
    <n v="10"/>
    <n v="0"/>
    <s v="Senior"/>
    <n v="5"/>
    <n v="0"/>
    <n v="0"/>
    <s v="Medium"/>
  </r>
  <r>
    <n v="1239"/>
    <n v="78"/>
    <s v="Female"/>
    <s v="Oncology"/>
    <d v="2023-08-27T00:00:00"/>
    <n v="10"/>
    <n v="0"/>
    <n v="2"/>
    <n v="98"/>
    <n v="111"/>
    <n v="9"/>
    <n v="0"/>
    <s v="Senior"/>
    <n v="2"/>
    <n v="0"/>
    <n v="0"/>
    <s v="Long"/>
  </r>
  <r>
    <n v="1240"/>
    <n v="41"/>
    <s v="Male"/>
    <s v="Cardiology"/>
    <d v="2023-08-28T00:00:00"/>
    <n v="14"/>
    <n v="3"/>
    <n v="3"/>
    <n v="70"/>
    <n v="133"/>
    <n v="2"/>
    <n v="0"/>
    <s v="Adult"/>
    <n v="6"/>
    <n v="0"/>
    <n v="0"/>
    <s v="Long"/>
  </r>
  <r>
    <n v="1241"/>
    <n v="49"/>
    <s v="Female"/>
    <s v="Neurology"/>
    <d v="2023-08-29T00:00:00"/>
    <n v="11"/>
    <n v="2"/>
    <n v="1"/>
    <n v="188"/>
    <n v="147"/>
    <n v="6"/>
    <n v="0"/>
    <s v="Middle-Aged"/>
    <n v="3"/>
    <n v="1"/>
    <n v="1"/>
    <s v="Long"/>
  </r>
  <r>
    <n v="1242"/>
    <n v="57"/>
    <s v="Female"/>
    <s v="General Medicine"/>
    <d v="2023-08-30T00:00:00"/>
    <n v="12"/>
    <n v="1"/>
    <n v="5"/>
    <n v="104"/>
    <n v="125"/>
    <n v="4"/>
    <n v="0"/>
    <s v="Middle-Aged"/>
    <n v="6"/>
    <n v="0"/>
    <n v="0"/>
    <s v="Long"/>
  </r>
  <r>
    <n v="1243"/>
    <n v="70"/>
    <s v="Male"/>
    <s v="General Medicine"/>
    <d v="2023-08-31T00:00:00"/>
    <n v="10"/>
    <n v="0"/>
    <n v="3"/>
    <n v="128"/>
    <n v="158"/>
    <n v="4"/>
    <n v="1"/>
    <s v="Senior"/>
    <n v="3"/>
    <n v="1"/>
    <n v="0"/>
    <s v="Long"/>
  </r>
  <r>
    <n v="1244"/>
    <n v="73"/>
    <s v="Female"/>
    <s v="Cardiology"/>
    <d v="2023-09-01T00:00:00"/>
    <n v="13"/>
    <n v="4"/>
    <n v="5"/>
    <n v="138"/>
    <n v="166"/>
    <n v="5"/>
    <n v="0"/>
    <s v="Senior"/>
    <n v="9"/>
    <n v="1"/>
    <n v="0"/>
    <s v="Long"/>
  </r>
  <r>
    <n v="1245"/>
    <n v="27"/>
    <s v="Male"/>
    <s v="General Medicine"/>
    <d v="2023-09-02T00:00:00"/>
    <n v="8"/>
    <n v="1"/>
    <n v="2"/>
    <n v="230"/>
    <n v="120"/>
    <n v="3"/>
    <n v="0"/>
    <s v="Young"/>
    <n v="3"/>
    <n v="0"/>
    <n v="1"/>
    <s v="Long"/>
  </r>
  <r>
    <n v="1246"/>
    <n v="46"/>
    <s v="Male"/>
    <s v="Oncology"/>
    <d v="2023-09-03T00:00:00"/>
    <n v="14"/>
    <n v="1"/>
    <n v="2"/>
    <n v="248"/>
    <n v="136"/>
    <n v="1"/>
    <n v="1"/>
    <s v="Middle-Aged"/>
    <n v="3"/>
    <n v="0"/>
    <n v="1"/>
    <s v="Long"/>
  </r>
  <r>
    <n v="1247"/>
    <n v="46"/>
    <s v="Male"/>
    <s v="Orthopedics"/>
    <d v="2023-09-04T00:00:00"/>
    <n v="2"/>
    <n v="0"/>
    <n v="2"/>
    <n v="81"/>
    <n v="144"/>
    <n v="8"/>
    <n v="0"/>
    <s v="Middle-Aged"/>
    <n v="2"/>
    <n v="1"/>
    <n v="0"/>
    <s v="Short "/>
  </r>
  <r>
    <n v="1248"/>
    <n v="40"/>
    <s v="Male"/>
    <s v="Cardiology"/>
    <d v="2023-09-05T00:00:00"/>
    <n v="9"/>
    <n v="1"/>
    <n v="0"/>
    <n v="89"/>
    <n v="169"/>
    <n v="5"/>
    <n v="0"/>
    <s v="Adult"/>
    <n v="1"/>
    <n v="1"/>
    <n v="0"/>
    <s v="Long"/>
  </r>
  <r>
    <n v="1249"/>
    <n v="49"/>
    <s v="Male"/>
    <s v="General Medicine"/>
    <d v="2023-09-06T00:00:00"/>
    <n v="1"/>
    <n v="4"/>
    <n v="5"/>
    <n v="112"/>
    <n v="151"/>
    <n v="3"/>
    <n v="1"/>
    <s v="Middle-Aged"/>
    <n v="9"/>
    <n v="1"/>
    <n v="0"/>
    <s v="Short "/>
  </r>
  <r>
    <n v="1250"/>
    <n v="47"/>
    <s v="Male"/>
    <s v="Cardiology"/>
    <d v="2023-09-07T00:00:00"/>
    <n v="8"/>
    <n v="1"/>
    <n v="3"/>
    <n v="195"/>
    <n v="119"/>
    <n v="10"/>
    <n v="0"/>
    <s v="Middle-Aged"/>
    <n v="4"/>
    <n v="0"/>
    <n v="1"/>
    <s v="Long"/>
  </r>
  <r>
    <n v="1251"/>
    <n v="83"/>
    <s v="Male"/>
    <s v="Cardiology"/>
    <d v="2023-09-08T00:00:00"/>
    <n v="12"/>
    <n v="4"/>
    <n v="3"/>
    <n v="119"/>
    <n v="144"/>
    <n v="7"/>
    <n v="1"/>
    <s v="Senior"/>
    <n v="7"/>
    <n v="1"/>
    <n v="0"/>
    <s v="Long"/>
  </r>
  <r>
    <n v="1252"/>
    <n v="88"/>
    <s v="Female"/>
    <s v="Orthopedics"/>
    <d v="2023-09-09T00:00:00"/>
    <n v="11"/>
    <n v="0"/>
    <n v="4"/>
    <n v="98"/>
    <n v="105"/>
    <n v="7"/>
    <n v="1"/>
    <s v="Senior"/>
    <n v="4"/>
    <n v="0"/>
    <n v="0"/>
    <s v="Long"/>
  </r>
  <r>
    <n v="1253"/>
    <n v="80"/>
    <s v="Male"/>
    <s v="Oncology"/>
    <d v="2023-09-10T00:00:00"/>
    <n v="12"/>
    <n v="2"/>
    <n v="4"/>
    <n v="108"/>
    <n v="101"/>
    <n v="1"/>
    <n v="1"/>
    <s v="Senior"/>
    <n v="6"/>
    <n v="0"/>
    <n v="0"/>
    <s v="Long"/>
  </r>
  <r>
    <n v="1254"/>
    <n v="67"/>
    <s v="Male"/>
    <s v="Cardiology"/>
    <d v="2023-09-11T00:00:00"/>
    <n v="12"/>
    <n v="1"/>
    <n v="4"/>
    <n v="240"/>
    <n v="106"/>
    <n v="9"/>
    <n v="0"/>
    <s v="Senior"/>
    <n v="5"/>
    <n v="0"/>
    <n v="1"/>
    <s v="Long"/>
  </r>
  <r>
    <n v="1255"/>
    <n v="38"/>
    <s v="Female"/>
    <s v="General Medicine"/>
    <d v="2023-09-12T00:00:00"/>
    <n v="4"/>
    <n v="2"/>
    <n v="2"/>
    <n v="247"/>
    <n v="105"/>
    <n v="2"/>
    <n v="0"/>
    <s v="Adult"/>
    <n v="4"/>
    <n v="0"/>
    <n v="1"/>
    <s v="Medium"/>
  </r>
  <r>
    <n v="1256"/>
    <n v="23"/>
    <s v="Female"/>
    <s v="Neurology"/>
    <d v="2023-09-13T00:00:00"/>
    <n v="4"/>
    <n v="4"/>
    <n v="3"/>
    <n v="220"/>
    <n v="101"/>
    <n v="5"/>
    <n v="0"/>
    <s v="Young"/>
    <n v="7"/>
    <n v="0"/>
    <n v="1"/>
    <s v="Medium"/>
  </r>
  <r>
    <n v="1257"/>
    <n v="54"/>
    <s v="Female"/>
    <s v="Cardiology"/>
    <d v="2023-09-14T00:00:00"/>
    <n v="5"/>
    <n v="1"/>
    <n v="5"/>
    <n v="241"/>
    <n v="97"/>
    <n v="5"/>
    <n v="1"/>
    <s v="Middle-Aged"/>
    <n v="6"/>
    <n v="0"/>
    <n v="1"/>
    <s v="Medium"/>
  </r>
  <r>
    <n v="1258"/>
    <n v="83"/>
    <s v="Male"/>
    <s v="Cardiology"/>
    <d v="2023-09-15T00:00:00"/>
    <n v="8"/>
    <n v="3"/>
    <n v="2"/>
    <n v="107"/>
    <n v="173"/>
    <n v="8"/>
    <n v="1"/>
    <s v="Senior"/>
    <n v="5"/>
    <n v="1"/>
    <n v="0"/>
    <s v="Long"/>
  </r>
  <r>
    <n v="1259"/>
    <n v="68"/>
    <s v="Female"/>
    <s v="Orthopedics"/>
    <d v="2023-09-16T00:00:00"/>
    <n v="5"/>
    <n v="2"/>
    <n v="0"/>
    <n v="153"/>
    <n v="92"/>
    <n v="8"/>
    <n v="0"/>
    <s v="Senior"/>
    <n v="2"/>
    <n v="0"/>
    <n v="0"/>
    <s v="Medium"/>
  </r>
  <r>
    <n v="1260"/>
    <n v="36"/>
    <s v="Male"/>
    <s v="Oncology"/>
    <d v="2023-09-17T00:00:00"/>
    <n v="8"/>
    <n v="1"/>
    <n v="4"/>
    <n v="220"/>
    <n v="105"/>
    <n v="7"/>
    <n v="0"/>
    <s v="Adult"/>
    <n v="5"/>
    <n v="0"/>
    <n v="1"/>
    <s v="Long"/>
  </r>
  <r>
    <n v="1261"/>
    <n v="63"/>
    <s v="Male"/>
    <s v="Neurology"/>
    <d v="2023-09-18T00:00:00"/>
    <n v="10"/>
    <n v="2"/>
    <n v="2"/>
    <n v="197"/>
    <n v="119"/>
    <n v="7"/>
    <n v="0"/>
    <s v="Senior"/>
    <n v="4"/>
    <n v="0"/>
    <n v="1"/>
    <s v="Long"/>
  </r>
  <r>
    <n v="1262"/>
    <n v="49"/>
    <s v="Male"/>
    <s v="General Medicine"/>
    <d v="2023-09-19T00:00:00"/>
    <n v="1"/>
    <n v="1"/>
    <n v="2"/>
    <n v="195"/>
    <n v="112"/>
    <n v="11"/>
    <n v="0"/>
    <s v="Middle-Aged"/>
    <n v="3"/>
    <n v="0"/>
    <n v="1"/>
    <s v="Short "/>
  </r>
  <r>
    <n v="1263"/>
    <n v="65"/>
    <s v="Male"/>
    <s v="Neurology"/>
    <d v="2023-09-20T00:00:00"/>
    <n v="12"/>
    <n v="0"/>
    <n v="0"/>
    <n v="114"/>
    <n v="94"/>
    <n v="6"/>
    <n v="1"/>
    <s v="Senior"/>
    <n v="0"/>
    <n v="0"/>
    <n v="0"/>
    <s v="Long"/>
  </r>
  <r>
    <n v="1264"/>
    <n v="25"/>
    <s v="Female"/>
    <s v="General Medicine"/>
    <d v="2023-09-21T00:00:00"/>
    <n v="10"/>
    <n v="2"/>
    <n v="1"/>
    <n v="121"/>
    <n v="173"/>
    <n v="6"/>
    <n v="0"/>
    <s v="Young"/>
    <n v="3"/>
    <n v="1"/>
    <n v="0"/>
    <s v="Long"/>
  </r>
  <r>
    <n v="1265"/>
    <n v="56"/>
    <s v="Female"/>
    <s v="Oncology"/>
    <d v="2023-09-22T00:00:00"/>
    <n v="9"/>
    <n v="3"/>
    <n v="3"/>
    <n v="149"/>
    <n v="154"/>
    <n v="11"/>
    <n v="1"/>
    <s v="Middle-Aged"/>
    <n v="6"/>
    <n v="1"/>
    <n v="0"/>
    <s v="Long"/>
  </r>
  <r>
    <n v="1266"/>
    <n v="43"/>
    <s v="Male"/>
    <s v="General Medicine"/>
    <d v="2023-09-23T00:00:00"/>
    <n v="6"/>
    <n v="3"/>
    <n v="5"/>
    <n v="247"/>
    <n v="119"/>
    <n v="9"/>
    <n v="1"/>
    <s v="Adult"/>
    <n v="8"/>
    <n v="0"/>
    <n v="1"/>
    <s v="Medium"/>
  </r>
  <r>
    <n v="1267"/>
    <n v="65"/>
    <s v="Male"/>
    <s v="Orthopedics"/>
    <d v="2023-09-24T00:00:00"/>
    <n v="3"/>
    <n v="4"/>
    <n v="1"/>
    <n v="193"/>
    <n v="110"/>
    <n v="6"/>
    <n v="0"/>
    <s v="Senior"/>
    <n v="5"/>
    <n v="0"/>
    <n v="1"/>
    <s v="Short "/>
  </r>
  <r>
    <n v="1268"/>
    <n v="72"/>
    <s v="Male"/>
    <s v="Orthopedics"/>
    <d v="2023-09-25T00:00:00"/>
    <n v="13"/>
    <n v="1"/>
    <n v="4"/>
    <n v="188"/>
    <n v="173"/>
    <n v="2"/>
    <n v="0"/>
    <s v="Senior"/>
    <n v="5"/>
    <n v="1"/>
    <n v="1"/>
    <s v="Long"/>
  </r>
  <r>
    <n v="1269"/>
    <n v="79"/>
    <s v="Female"/>
    <s v="Orthopedics"/>
    <d v="2023-09-26T00:00:00"/>
    <n v="14"/>
    <n v="2"/>
    <n v="2"/>
    <n v="77"/>
    <n v="159"/>
    <n v="2"/>
    <n v="0"/>
    <s v="Senior"/>
    <n v="4"/>
    <n v="1"/>
    <n v="0"/>
    <s v="Long"/>
  </r>
  <r>
    <n v="1270"/>
    <n v="82"/>
    <s v="Male"/>
    <s v="Orthopedics"/>
    <d v="2023-09-27T00:00:00"/>
    <n v="8"/>
    <n v="4"/>
    <n v="0"/>
    <n v="154"/>
    <n v="111"/>
    <n v="5"/>
    <n v="0"/>
    <s v="Senior"/>
    <n v="4"/>
    <n v="0"/>
    <n v="0"/>
    <s v="Long"/>
  </r>
  <r>
    <n v="1271"/>
    <n v="51"/>
    <s v="Male"/>
    <s v="Neurology"/>
    <d v="2023-09-28T00:00:00"/>
    <n v="9"/>
    <n v="2"/>
    <n v="0"/>
    <n v="198"/>
    <n v="171"/>
    <n v="4"/>
    <n v="1"/>
    <s v="Middle-Aged"/>
    <n v="2"/>
    <n v="1"/>
    <n v="1"/>
    <s v="Long"/>
  </r>
  <r>
    <n v="1272"/>
    <n v="52"/>
    <s v="Female"/>
    <s v="Oncology"/>
    <d v="2023-09-29T00:00:00"/>
    <n v="6"/>
    <n v="1"/>
    <n v="3"/>
    <n v="77"/>
    <n v="161"/>
    <n v="11"/>
    <n v="1"/>
    <s v="Middle-Aged"/>
    <n v="4"/>
    <n v="1"/>
    <n v="0"/>
    <s v="Medium"/>
  </r>
  <r>
    <n v="1273"/>
    <n v="86"/>
    <s v="Female"/>
    <s v="General Medicine"/>
    <d v="2023-09-30T00:00:00"/>
    <n v="11"/>
    <n v="3"/>
    <n v="1"/>
    <n v="226"/>
    <n v="121"/>
    <n v="2"/>
    <n v="1"/>
    <s v="Senior"/>
    <n v="4"/>
    <n v="0"/>
    <n v="1"/>
    <s v="Long"/>
  </r>
  <r>
    <n v="1274"/>
    <n v="37"/>
    <s v="Male"/>
    <s v="General Medicine"/>
    <d v="2023-10-01T00:00:00"/>
    <n v="7"/>
    <n v="0"/>
    <n v="3"/>
    <n v="165"/>
    <n v="122"/>
    <n v="3"/>
    <n v="0"/>
    <s v="Adult"/>
    <n v="3"/>
    <n v="0"/>
    <n v="0"/>
    <s v="Medium"/>
  </r>
  <r>
    <n v="1275"/>
    <n v="44"/>
    <s v="Female"/>
    <s v="Orthopedics"/>
    <d v="2023-10-02T00:00:00"/>
    <n v="1"/>
    <n v="3"/>
    <n v="2"/>
    <n v="171"/>
    <n v="105"/>
    <n v="7"/>
    <n v="0"/>
    <s v="Adult"/>
    <n v="5"/>
    <n v="0"/>
    <n v="0"/>
    <s v="Short "/>
  </r>
  <r>
    <n v="1276"/>
    <n v="73"/>
    <s v="Female"/>
    <s v="Orthopedics"/>
    <d v="2023-10-03T00:00:00"/>
    <n v="14"/>
    <n v="4"/>
    <n v="3"/>
    <n v="74"/>
    <n v="165"/>
    <n v="8"/>
    <n v="1"/>
    <s v="Senior"/>
    <n v="7"/>
    <n v="1"/>
    <n v="0"/>
    <s v="Long"/>
  </r>
  <r>
    <n v="1277"/>
    <n v="77"/>
    <s v="Male"/>
    <s v="Cardiology"/>
    <d v="2023-10-04T00:00:00"/>
    <n v="5"/>
    <n v="0"/>
    <n v="5"/>
    <n v="155"/>
    <n v="127"/>
    <n v="6"/>
    <n v="0"/>
    <s v="Senior"/>
    <n v="5"/>
    <n v="0"/>
    <n v="0"/>
    <s v="Medium"/>
  </r>
  <r>
    <n v="1278"/>
    <n v="86"/>
    <s v="Female"/>
    <s v="Oncology"/>
    <d v="2023-10-05T00:00:00"/>
    <n v="5"/>
    <n v="4"/>
    <n v="0"/>
    <n v="244"/>
    <n v="103"/>
    <n v="11"/>
    <n v="0"/>
    <s v="Senior"/>
    <n v="4"/>
    <n v="0"/>
    <n v="1"/>
    <s v="Medium"/>
  </r>
  <r>
    <n v="1279"/>
    <n v="65"/>
    <s v="Male"/>
    <s v="Neurology"/>
    <d v="2023-10-06T00:00:00"/>
    <n v="10"/>
    <n v="1"/>
    <n v="0"/>
    <n v="103"/>
    <n v="125"/>
    <n v="5"/>
    <n v="0"/>
    <s v="Senior"/>
    <n v="1"/>
    <n v="0"/>
    <n v="0"/>
    <s v="Long"/>
  </r>
  <r>
    <n v="1280"/>
    <n v="43"/>
    <s v="Female"/>
    <s v="General Medicine"/>
    <d v="2023-10-07T00:00:00"/>
    <n v="14"/>
    <n v="0"/>
    <n v="4"/>
    <n v="124"/>
    <n v="112"/>
    <n v="1"/>
    <n v="0"/>
    <s v="Adult"/>
    <n v="4"/>
    <n v="0"/>
    <n v="0"/>
    <s v="Long"/>
  </r>
  <r>
    <n v="1281"/>
    <n v="51"/>
    <s v="Male"/>
    <s v="Cardiology"/>
    <d v="2023-10-08T00:00:00"/>
    <n v="4"/>
    <n v="4"/>
    <n v="4"/>
    <n v="188"/>
    <n v="155"/>
    <n v="8"/>
    <n v="0"/>
    <s v="Middle-Aged"/>
    <n v="8"/>
    <n v="1"/>
    <n v="1"/>
    <s v="Medium"/>
  </r>
  <r>
    <n v="1282"/>
    <n v="66"/>
    <s v="Male"/>
    <s v="Cardiology"/>
    <d v="2023-10-09T00:00:00"/>
    <n v="6"/>
    <n v="1"/>
    <n v="2"/>
    <n v="240"/>
    <n v="174"/>
    <n v="3"/>
    <n v="0"/>
    <s v="Senior"/>
    <n v="3"/>
    <n v="1"/>
    <n v="1"/>
    <s v="Medium"/>
  </r>
  <r>
    <n v="1283"/>
    <n v="42"/>
    <s v="Male"/>
    <s v="General Medicine"/>
    <d v="2023-10-10T00:00:00"/>
    <n v="7"/>
    <n v="3"/>
    <n v="5"/>
    <n v="227"/>
    <n v="91"/>
    <n v="6"/>
    <n v="1"/>
    <s v="Adult"/>
    <n v="8"/>
    <n v="0"/>
    <n v="1"/>
    <s v="Medium"/>
  </r>
  <r>
    <n v="1284"/>
    <n v="85"/>
    <s v="Female"/>
    <s v="Neurology"/>
    <d v="2023-10-11T00:00:00"/>
    <n v="9"/>
    <n v="1"/>
    <n v="1"/>
    <n v="183"/>
    <n v="162"/>
    <n v="3"/>
    <n v="0"/>
    <s v="Senior"/>
    <n v="2"/>
    <n v="1"/>
    <n v="1"/>
    <s v="Long"/>
  </r>
  <r>
    <n v="1285"/>
    <n v="46"/>
    <s v="Male"/>
    <s v="Cardiology"/>
    <d v="2023-10-12T00:00:00"/>
    <n v="1"/>
    <n v="2"/>
    <n v="3"/>
    <n v="214"/>
    <n v="154"/>
    <n v="7"/>
    <n v="0"/>
    <s v="Middle-Aged"/>
    <n v="5"/>
    <n v="1"/>
    <n v="1"/>
    <s v="Short "/>
  </r>
  <r>
    <n v="1286"/>
    <n v="21"/>
    <s v="Female"/>
    <s v="Cardiology"/>
    <d v="2023-10-13T00:00:00"/>
    <n v="6"/>
    <n v="1"/>
    <n v="2"/>
    <n v="95"/>
    <n v="164"/>
    <n v="7"/>
    <n v="0"/>
    <s v="Young"/>
    <n v="3"/>
    <n v="1"/>
    <n v="0"/>
    <s v="Medium"/>
  </r>
  <r>
    <n v="1287"/>
    <n v="36"/>
    <s v="Male"/>
    <s v="Oncology"/>
    <d v="2023-10-14T00:00:00"/>
    <n v="7"/>
    <n v="1"/>
    <n v="4"/>
    <n v="205"/>
    <n v="156"/>
    <n v="9"/>
    <n v="1"/>
    <s v="Adult"/>
    <n v="5"/>
    <n v="1"/>
    <n v="1"/>
    <s v="Medium"/>
  </r>
  <r>
    <n v="1288"/>
    <n v="52"/>
    <s v="Male"/>
    <s v="Neurology"/>
    <d v="2023-10-15T00:00:00"/>
    <n v="3"/>
    <n v="2"/>
    <n v="3"/>
    <n v="116"/>
    <n v="141"/>
    <n v="5"/>
    <n v="0"/>
    <s v="Middle-Aged"/>
    <n v="5"/>
    <n v="1"/>
    <n v="0"/>
    <s v="Short "/>
  </r>
  <r>
    <n v="1289"/>
    <n v="28"/>
    <s v="Female"/>
    <s v="Cardiology"/>
    <d v="2023-10-16T00:00:00"/>
    <n v="8"/>
    <n v="4"/>
    <n v="4"/>
    <n v="182"/>
    <n v="151"/>
    <n v="8"/>
    <n v="0"/>
    <s v="Young"/>
    <n v="8"/>
    <n v="1"/>
    <n v="1"/>
    <s v="Long"/>
  </r>
  <r>
    <n v="1290"/>
    <n v="62"/>
    <s v="Male"/>
    <s v="Neurology"/>
    <d v="2023-10-17T00:00:00"/>
    <n v="5"/>
    <n v="4"/>
    <n v="3"/>
    <n v="145"/>
    <n v="112"/>
    <n v="10"/>
    <n v="0"/>
    <s v="Senior"/>
    <n v="7"/>
    <n v="0"/>
    <n v="0"/>
    <s v="Medium"/>
  </r>
  <r>
    <n v="1291"/>
    <n v="67"/>
    <s v="Male"/>
    <s v="General Medicine"/>
    <d v="2023-10-18T00:00:00"/>
    <n v="9"/>
    <n v="1"/>
    <n v="1"/>
    <n v="141"/>
    <n v="115"/>
    <n v="10"/>
    <n v="1"/>
    <s v="Senior"/>
    <n v="2"/>
    <n v="0"/>
    <n v="0"/>
    <s v="Long"/>
  </r>
  <r>
    <n v="1292"/>
    <n v="58"/>
    <s v="Female"/>
    <s v="Orthopedics"/>
    <d v="2023-10-19T00:00:00"/>
    <n v="5"/>
    <n v="2"/>
    <n v="2"/>
    <n v="158"/>
    <n v="157"/>
    <n v="8"/>
    <n v="0"/>
    <s v="Middle-Aged"/>
    <n v="4"/>
    <n v="1"/>
    <n v="0"/>
    <s v="Medium"/>
  </r>
  <r>
    <n v="1293"/>
    <n v="61"/>
    <s v="Male"/>
    <s v="Cardiology"/>
    <d v="2023-10-20T00:00:00"/>
    <n v="9"/>
    <n v="2"/>
    <n v="3"/>
    <n v="115"/>
    <n v="171"/>
    <n v="1"/>
    <n v="1"/>
    <s v="Senior"/>
    <n v="5"/>
    <n v="1"/>
    <n v="0"/>
    <s v="Long"/>
  </r>
  <r>
    <n v="1294"/>
    <n v="45"/>
    <s v="Male"/>
    <s v="Oncology"/>
    <d v="2023-10-21T00:00:00"/>
    <n v="10"/>
    <n v="3"/>
    <n v="5"/>
    <n v="102"/>
    <n v="144"/>
    <n v="5"/>
    <n v="1"/>
    <s v="Middle-Aged"/>
    <n v="8"/>
    <n v="1"/>
    <n v="0"/>
    <s v="Long"/>
  </r>
  <r>
    <n v="1295"/>
    <n v="69"/>
    <s v="Male"/>
    <s v="General Medicine"/>
    <d v="2023-10-22T00:00:00"/>
    <n v="4"/>
    <n v="4"/>
    <n v="0"/>
    <n v="70"/>
    <n v="95"/>
    <n v="3"/>
    <n v="0"/>
    <s v="Senior"/>
    <n v="4"/>
    <n v="0"/>
    <n v="0"/>
    <s v="Medium"/>
  </r>
  <r>
    <n v="1296"/>
    <n v="44"/>
    <s v="Male"/>
    <s v="Neurology"/>
    <d v="2023-10-23T00:00:00"/>
    <n v="9"/>
    <n v="0"/>
    <n v="5"/>
    <n v="216"/>
    <n v="124"/>
    <n v="1"/>
    <n v="1"/>
    <s v="Adult"/>
    <n v="5"/>
    <n v="0"/>
    <n v="1"/>
    <s v="Long"/>
  </r>
  <r>
    <n v="1297"/>
    <n v="43"/>
    <s v="Female"/>
    <s v="General Medicine"/>
    <d v="2023-10-24T00:00:00"/>
    <n v="5"/>
    <n v="4"/>
    <n v="5"/>
    <n v="100"/>
    <n v="111"/>
    <n v="4"/>
    <n v="0"/>
    <s v="Adult"/>
    <n v="9"/>
    <n v="0"/>
    <n v="0"/>
    <s v="Medium"/>
  </r>
  <r>
    <n v="1298"/>
    <n v="32"/>
    <s v="Female"/>
    <s v="Cardiology"/>
    <d v="2023-10-25T00:00:00"/>
    <n v="10"/>
    <n v="4"/>
    <n v="0"/>
    <n v="211"/>
    <n v="132"/>
    <n v="8"/>
    <n v="1"/>
    <s v="Adult"/>
    <n v="4"/>
    <n v="0"/>
    <n v="1"/>
    <s v="Long"/>
  </r>
  <r>
    <n v="1299"/>
    <n v="79"/>
    <s v="Male"/>
    <s v="Neurology"/>
    <d v="2023-10-26T00:00:00"/>
    <n v="9"/>
    <n v="3"/>
    <n v="5"/>
    <n v="122"/>
    <n v="104"/>
    <n v="3"/>
    <n v="0"/>
    <s v="Senior"/>
    <n v="8"/>
    <n v="0"/>
    <n v="0"/>
    <s v="Long"/>
  </r>
  <r>
    <n v="1300"/>
    <n v="26"/>
    <s v="Female"/>
    <s v="Orthopedics"/>
    <d v="2023-10-27T00:00:00"/>
    <n v="3"/>
    <n v="0"/>
    <n v="3"/>
    <n v="117"/>
    <n v="175"/>
    <n v="10"/>
    <n v="1"/>
    <s v="Young"/>
    <n v="3"/>
    <n v="1"/>
    <n v="0"/>
    <s v="Short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A6A5C9-AB63-4C12-AF5D-E1F9BD6D585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_Grp">
  <location ref="I1:J6" firstHeaderRow="1" firstDataRow="1" firstDataCol="1"/>
  <pivotFields count="17">
    <pivotField dataField="1" showAll="0"/>
    <pivotField showAll="0"/>
    <pivotField showAll="0">
      <items count="3">
        <item x="1"/>
        <item x="0"/>
        <item t="default"/>
      </items>
    </pivotField>
    <pivotField showAll="0">
      <items count="6">
        <item x="4"/>
        <item x="0"/>
        <item x="3"/>
        <item x="1"/>
        <item x="2"/>
        <item t="default"/>
      </items>
    </pivotField>
    <pivotField numFmtId="14"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showAll="0"/>
    <pivotField showAll="0"/>
    <pivotField showAll="0"/>
  </pivotFields>
  <rowFields count="1">
    <field x="12"/>
  </rowFields>
  <rowItems count="5">
    <i>
      <x/>
    </i>
    <i>
      <x v="1"/>
    </i>
    <i>
      <x v="2"/>
    </i>
    <i>
      <x v="3"/>
    </i>
    <i t="grand">
      <x/>
    </i>
  </rowItems>
  <colItems count="1">
    <i/>
  </colItems>
  <dataFields count="1">
    <dataField name="Count of patient_id" fld="0" subtotal="count" baseField="12" baseItem="0"/>
  </dataFields>
  <chartFormats count="5">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2" count="1" selected="0">
            <x v="0"/>
          </reference>
        </references>
      </pivotArea>
    </chartFormat>
    <chartFormat chart="7" format="18">
      <pivotArea type="data" outline="0" fieldPosition="0">
        <references count="2">
          <reference field="4294967294" count="1" selected="0">
            <x v="0"/>
          </reference>
          <reference field="12" count="1" selected="0">
            <x v="1"/>
          </reference>
        </references>
      </pivotArea>
    </chartFormat>
    <chartFormat chart="7" format="19">
      <pivotArea type="data" outline="0" fieldPosition="0">
        <references count="2">
          <reference field="4294967294" count="1" selected="0">
            <x v="0"/>
          </reference>
          <reference field="12" count="1" selected="0">
            <x v="2"/>
          </reference>
        </references>
      </pivotArea>
    </chartFormat>
    <chartFormat chart="7" format="2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8CDD7A-10E1-4F9F-B66D-A329EB8DA49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s">
  <location ref="D1:G8" firstHeaderRow="1" firstDataRow="2" firstDataCol="1"/>
  <pivotFields count="17">
    <pivotField dataField="1" showAll="0"/>
    <pivotField showAll="0"/>
    <pivotField showAll="0">
      <items count="3">
        <item x="1"/>
        <item x="0"/>
        <item t="default"/>
      </items>
    </pivotField>
    <pivotField axis="axisRow" showAll="0">
      <items count="6">
        <item x="4"/>
        <item x="0"/>
        <item x="3"/>
        <item x="1"/>
        <item x="2"/>
        <item t="default"/>
      </items>
    </pivotField>
    <pivotField numFmtId="14" showAll="0"/>
    <pivotField showAll="0"/>
    <pivotField showAll="0"/>
    <pivotField showAll="0"/>
    <pivotField showAll="0"/>
    <pivotField showAll="0"/>
    <pivotField showAll="0"/>
    <pivotField axis="axisCol" showAll="0">
      <items count="3">
        <item x="0"/>
        <item x="1"/>
        <item t="default"/>
      </items>
    </pivotField>
    <pivotField showAll="0">
      <items count="5">
        <item x="1"/>
        <item x="3"/>
        <item x="0"/>
        <item x="2"/>
        <item t="default"/>
      </items>
    </pivotField>
    <pivotField showAll="0"/>
    <pivotField showAll="0"/>
    <pivotField showAll="0"/>
    <pivotField showAll="0"/>
  </pivotFields>
  <rowFields count="1">
    <field x="3"/>
  </rowFields>
  <rowItems count="6">
    <i>
      <x/>
    </i>
    <i>
      <x v="1"/>
    </i>
    <i>
      <x v="2"/>
    </i>
    <i>
      <x v="3"/>
    </i>
    <i>
      <x v="4"/>
    </i>
    <i t="grand">
      <x/>
    </i>
  </rowItems>
  <colFields count="1">
    <field x="11"/>
  </colFields>
  <colItems count="3">
    <i>
      <x/>
    </i>
    <i>
      <x v="1"/>
    </i>
    <i t="grand">
      <x/>
    </i>
  </colItems>
  <dataFields count="1">
    <dataField name="Count of patient_id" fld="0" subtotal="count" baseField="3" baseItem="0"/>
  </dataFields>
  <chartFormats count="2">
    <chartFormat chart="7" format="8" series="1">
      <pivotArea type="data" outline="0" fieldPosition="0">
        <references count="2">
          <reference field="4294967294" count="1" selected="0">
            <x v="0"/>
          </reference>
          <reference field="11" count="1" selected="0">
            <x v="0"/>
          </reference>
        </references>
      </pivotArea>
    </chartFormat>
    <chartFormat chart="7" format="9"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911D56-6A3B-4FD2-9F81-15F384AE5D4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epartments">
  <location ref="A1:B7" firstHeaderRow="1" firstDataRow="1" firstDataCol="1"/>
  <pivotFields count="17">
    <pivotField dataField="1" showAll="0"/>
    <pivotField showAll="0"/>
    <pivotField showAll="0">
      <items count="3">
        <item x="1"/>
        <item x="0"/>
        <item t="default"/>
      </items>
    </pivotField>
    <pivotField axis="axisRow" showAll="0">
      <items count="6">
        <item x="4"/>
        <item x="0"/>
        <item x="3"/>
        <item x="1"/>
        <item x="2"/>
        <item t="default"/>
      </items>
    </pivotField>
    <pivotField numFmtId="14"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pivotField showAll="0"/>
  </pivotFields>
  <rowFields count="1">
    <field x="3"/>
  </rowFields>
  <rowItems count="6">
    <i>
      <x/>
    </i>
    <i>
      <x v="1"/>
    </i>
    <i>
      <x v="2"/>
    </i>
    <i>
      <x v="3"/>
    </i>
    <i>
      <x v="4"/>
    </i>
    <i t="grand">
      <x/>
    </i>
  </rowItems>
  <colItems count="1">
    <i/>
  </colItems>
  <dataFields count="1">
    <dataField name="Count of patient_id" fld="0" subtotal="count" baseField="3" baseItem="2"/>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9A25C6-4007-4DF4-84FD-834BE028048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L12" firstHeaderRow="0" firstDataRow="1" firstDataCol="0"/>
  <pivotFields count="17">
    <pivotField dataField="1" showAll="0"/>
    <pivotField showAll="0"/>
    <pivotField showAll="0"/>
    <pivotField showAll="0"/>
    <pivotField numFmtId="14" showAll="0"/>
    <pivotField dataField="1" showAll="0"/>
    <pivotField showAll="0"/>
    <pivotField showAll="0"/>
    <pivotField showAll="0"/>
    <pivotField showAll="0"/>
    <pivotField showAll="0"/>
    <pivotField dataField="1" showAll="0"/>
    <pivotField showAll="0"/>
    <pivotField dataField="1" showAll="0"/>
    <pivotField dataField="1" showAll="0"/>
    <pivotField showAll="0"/>
    <pivotField showAll="0"/>
  </pivotFields>
  <rowItems count="1">
    <i/>
  </rowItems>
  <colFields count="1">
    <field x="-2"/>
  </colFields>
  <colItems count="5">
    <i>
      <x/>
    </i>
    <i i="1">
      <x v="1"/>
    </i>
    <i i="2">
      <x v="2"/>
    </i>
    <i i="3">
      <x v="3"/>
    </i>
    <i i="4">
      <x v="4"/>
    </i>
  </colItems>
  <dataFields count="5">
    <dataField name="Count of patient_id" fld="0" subtotal="count" baseField="0" baseItem="0"/>
    <dataField name="Average of risk_score" fld="13" subtotal="average" baseField="0" baseItem="1" numFmtId="2"/>
    <dataField name="Count of readmitted_30d" fld="11" subtotal="count" baseField="0" baseItem="0"/>
    <dataField name="Sum of high_BP_flag" fld="14" baseField="0" baseItem="0"/>
    <dataField name="Average of length_of_stay" fld="5" subtotal="average" baseField="0" baseItem="1" numFmtId="2"/>
  </dataFields>
  <formats count="2">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5AAD9E-2E1B-4720-9200-05A1B6A69B46}"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G12" firstHeaderRow="1" firstDataRow="1" firstDataCol="0"/>
  <pivotFields count="17">
    <pivotField showAll="0"/>
    <pivotField showAll="0"/>
    <pivotField showAll="0"/>
    <pivotField showAll="0"/>
    <pivotField numFmtId="22"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readmitted_30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918015-3B88-4FF5-97E2-E89C56721A1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location ref="L1:M4" firstHeaderRow="1" firstDataRow="1" firstDataCol="1"/>
  <pivotFields count="17">
    <pivotField dataField="1" showAll="0"/>
    <pivotField showAll="0"/>
    <pivotField axis="axisRow" showAll="0">
      <items count="3">
        <item x="1"/>
        <item x="0"/>
        <item t="default"/>
      </items>
    </pivotField>
    <pivotField showAll="0">
      <items count="6">
        <item x="4"/>
        <item x="0"/>
        <item x="3"/>
        <item x="1"/>
        <item x="2"/>
        <item t="default"/>
      </items>
    </pivotField>
    <pivotField numFmtId="14"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pivotField showAll="0"/>
  </pivotFields>
  <rowFields count="1">
    <field x="2"/>
  </rowFields>
  <rowItems count="3">
    <i>
      <x/>
    </i>
    <i>
      <x v="1"/>
    </i>
    <i t="grand">
      <x/>
    </i>
  </rowItems>
  <colItems count="1">
    <i/>
  </colItems>
  <dataFields count="1">
    <dataField name="Count of patient_id" fld="0" subtotal="count" baseField="12"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804E0070-87D9-460D-8091-0CA9DDCF8021}" autoFormatId="16" applyNumberFormats="0" applyBorderFormats="0" applyFontFormats="0" applyPatternFormats="0" applyAlignmentFormats="0" applyWidthHeightFormats="0">
  <queryTableRefresh nextId="18">
    <queryTableFields count="17">
      <queryTableField id="1" name="patient_id" tableColumnId="1"/>
      <queryTableField id="2" name="age" tableColumnId="2"/>
      <queryTableField id="3" name="gender" tableColumnId="3"/>
      <queryTableField id="4" name="department" tableColumnId="4"/>
      <queryTableField id="5" name="admit_date" tableColumnId="5"/>
      <queryTableField id="6" name="length_of_stay" tableColumnId="6"/>
      <queryTableField id="7" name="prior_admissions_6mo" tableColumnId="7"/>
      <queryTableField id="8" name="comorbidity_count" tableColumnId="8"/>
      <queryTableField id="9" name="blood_glucose" tableColumnId="9"/>
      <queryTableField id="10" name="blood_pressure" tableColumnId="10"/>
      <queryTableField id="11" name="med_count" tableColumnId="11"/>
      <queryTableField id="12" name="readmitted_30d" tableColumnId="12"/>
      <queryTableField id="13" name="age_grp" tableColumnId="13"/>
      <queryTableField id="14" name="risk_score" tableColumnId="14"/>
      <queryTableField id="15" name="high_BP_flag" tableColumnId="15"/>
      <queryTableField id="16" name="high_glucose_flag" tableColumnId="16"/>
      <queryTableField id="17" name="stay_typ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p" xr10:uid="{64FA5287-5EBC-4639-A321-7B56283CBB90}" sourceName="age_grp">
  <pivotTables>
    <pivotTable tabId="1" name="PivotTable8"/>
    <pivotTable tabId="1" name="PivotTable10"/>
    <pivotTable tabId="1" name="PivotTable7"/>
    <pivotTable tabId="1" name="PivotTable9"/>
  </pivotTables>
  <data>
    <tabular pivotCacheId="802972233">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C18BF82-A59B-4CDC-B17F-F67770416DBF}" sourceName="gender">
  <pivotTables>
    <pivotTable tabId="1" name="PivotTable8"/>
    <pivotTable tabId="1" name="PivotTable10"/>
    <pivotTable tabId="1" name="PivotTable7"/>
    <pivotTable tabId="1" name="PivotTable9"/>
  </pivotTables>
  <data>
    <tabular pivotCacheId="80297223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B355F48-0A0E-4F9B-8476-DC017D89C227}" sourceName="department">
  <pivotTables>
    <pivotTable tabId="1" name="PivotTable7"/>
    <pivotTable tabId="1" name="PivotTable10"/>
    <pivotTable tabId="1" name="PivotTable8"/>
    <pivotTable tabId="1" name="PivotTable9"/>
  </pivotTables>
  <data>
    <tabular pivotCacheId="802972233">
      <items count="5">
        <i x="4" s="1"/>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p" xr10:uid="{28F765AF-2206-4788-A81C-352F19F64A10}" cache="Slicer_age_grp" caption="age_grp" rowHeight="247650"/>
  <slicer name="gender" xr10:uid="{C890B9F1-6C37-445A-BC75-D747CA2BBF97}" cache="Slicer_gender" caption="gender" rowHeight="247650"/>
  <slicer name="department" xr10:uid="{35C20C1D-0C89-42A0-898D-A7EDC18C9D48}" cache="Slicer_department" caption="department"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A58747C-1530-4630-BC98-B7B781C3773D}" name="Healthcare_dashboard" displayName="Healthcare_dashboard" ref="A1:Q301" tableType="queryTable" totalsRowShown="0">
  <autoFilter ref="A1:Q301" xr:uid="{AA58747C-1530-4630-BC98-B7B781C3773D}"/>
  <tableColumns count="17">
    <tableColumn id="1" xr3:uid="{052C94F4-FAF3-4A5B-9CE7-B9E7ABB16BC4}" uniqueName="1" name="patient_id" queryTableFieldId="1"/>
    <tableColumn id="2" xr3:uid="{3CD2A358-EAA2-4BEC-B6DF-5D36DBE1BA28}" uniqueName="2" name="age" queryTableFieldId="2"/>
    <tableColumn id="3" xr3:uid="{1D1D6C70-DE36-4108-B8E8-C6D603ED96F6}" uniqueName="3" name="gender" queryTableFieldId="3" dataDxfId="6"/>
    <tableColumn id="4" xr3:uid="{119983F8-E183-4776-90AB-E1947E0F1E52}" uniqueName="4" name="department" queryTableFieldId="4" dataDxfId="5"/>
    <tableColumn id="5" xr3:uid="{DCC8FE9A-4981-4B0F-A95F-8D22521D9869}" uniqueName="5" name="admit_date" queryTableFieldId="5" dataDxfId="4"/>
    <tableColumn id="6" xr3:uid="{EC7893F1-618D-43BA-AC68-776594EACF73}" uniqueName="6" name="length_of_stay" queryTableFieldId="6"/>
    <tableColumn id="7" xr3:uid="{8E25C2F5-4142-4675-9D67-9D2C534E0EFF}" uniqueName="7" name="prior_admissions_6mo" queryTableFieldId="7"/>
    <tableColumn id="8" xr3:uid="{257670C4-D3CF-4BFB-8160-C7F4F81FCD7C}" uniqueName="8" name="comorbidity_count" queryTableFieldId="8"/>
    <tableColumn id="9" xr3:uid="{06D39C14-DCF3-4138-A5BE-FC2B08C26D04}" uniqueName="9" name="blood_glucose" queryTableFieldId="9"/>
    <tableColumn id="10" xr3:uid="{6C918E60-0914-4DC4-81AA-315BB4C7E804}" uniqueName="10" name="blood_pressure" queryTableFieldId="10"/>
    <tableColumn id="11" xr3:uid="{928DF78A-4A59-4AF2-8A9B-B4ADA3A6705F}" uniqueName="11" name="med_count" queryTableFieldId="11"/>
    <tableColumn id="12" xr3:uid="{E6A8DC84-8473-4A45-82E6-D7310732FCC8}" uniqueName="12" name="readmitted_30d" queryTableFieldId="12"/>
    <tableColumn id="13" xr3:uid="{C61F4CED-88B2-4F16-AF73-48BFE44E0D09}" uniqueName="13" name="age_grp" queryTableFieldId="13" dataDxfId="3"/>
    <tableColumn id="14" xr3:uid="{F007ECB4-33B5-4479-843E-8DBD662F9C4D}" uniqueName="14" name="risk_score" queryTableFieldId="14"/>
    <tableColumn id="15" xr3:uid="{3E18767D-15C5-436D-8861-315220CC2B5E}" uniqueName="15" name="high_BP_flag" queryTableFieldId="15"/>
    <tableColumn id="16" xr3:uid="{0FEDF3C4-E0AF-450E-8FB4-6EC65312A2FE}" uniqueName="16" name="high_glucose_flag" queryTableFieldId="16"/>
    <tableColumn id="17" xr3:uid="{71C45307-CD6E-4A58-B703-5AFF78CC2E6E}" uniqueName="17" name="stay_type" queryTableFieldId="17"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0212-7014-4B0D-A4C7-38E4579A0E1A}">
  <sheetPr>
    <tabColor theme="5" tint="0.79998168889431442"/>
  </sheetPr>
  <dimension ref="A1:Q301"/>
  <sheetViews>
    <sheetView workbookViewId="0">
      <pane ySplit="1" topLeftCell="A2" activePane="bottomLeft" state="frozen"/>
      <selection pane="bottomLeft" activeCell="D22" sqref="D22"/>
    </sheetView>
  </sheetViews>
  <sheetFormatPr defaultRowHeight="14.4" x14ac:dyDescent="0.3"/>
  <cols>
    <col min="1" max="1" width="11.6640625" bestFit="1" customWidth="1"/>
    <col min="2" max="2" width="6.109375" bestFit="1" customWidth="1"/>
    <col min="4" max="4" width="15.21875" bestFit="1" customWidth="1"/>
    <col min="5" max="5" width="15.33203125" bestFit="1" customWidth="1"/>
    <col min="6" max="6" width="14.88671875" bestFit="1" customWidth="1"/>
    <col min="7" max="7" width="22.21875" bestFit="1" customWidth="1"/>
    <col min="8" max="8" width="19" bestFit="1" customWidth="1"/>
    <col min="9" max="9" width="15.109375" bestFit="1" customWidth="1"/>
    <col min="10" max="10" width="16.109375" bestFit="1" customWidth="1"/>
    <col min="11" max="11" width="12.44140625" bestFit="1" customWidth="1"/>
    <col min="12" max="12" width="16.6640625" bestFit="1" customWidth="1"/>
    <col min="13" max="13" width="11" bestFit="1" customWidth="1"/>
    <col min="14" max="14" width="11.6640625" bestFit="1" customWidth="1"/>
    <col min="15" max="15" width="13.44140625" bestFit="1" customWidth="1"/>
    <col min="16" max="16" width="17.6640625" bestFit="1" customWidth="1"/>
    <col min="17" max="17" width="11.109375" bestFit="1" customWidth="1"/>
  </cols>
  <sheetData>
    <row r="1" spans="1:17" x14ac:dyDescent="0.3">
      <c r="A1" t="s">
        <v>0</v>
      </c>
      <c r="B1" t="s">
        <v>1</v>
      </c>
      <c r="C1" t="s">
        <v>2</v>
      </c>
      <c r="D1" t="s">
        <v>3</v>
      </c>
      <c r="E1" t="s">
        <v>4</v>
      </c>
      <c r="F1" t="s">
        <v>5</v>
      </c>
      <c r="G1" t="s">
        <v>6</v>
      </c>
      <c r="H1" t="s">
        <v>7</v>
      </c>
      <c r="I1" t="s">
        <v>8</v>
      </c>
      <c r="J1" t="s">
        <v>9</v>
      </c>
      <c r="K1" t="s">
        <v>10</v>
      </c>
      <c r="L1" t="s">
        <v>11</v>
      </c>
      <c r="M1" t="s">
        <v>19</v>
      </c>
      <c r="N1" t="s">
        <v>20</v>
      </c>
      <c r="O1" t="s">
        <v>21</v>
      </c>
      <c r="P1" t="s">
        <v>22</v>
      </c>
      <c r="Q1" t="s">
        <v>23</v>
      </c>
    </row>
    <row r="2" spans="1:17" x14ac:dyDescent="0.3">
      <c r="A2">
        <v>1001</v>
      </c>
      <c r="B2">
        <v>71</v>
      </c>
      <c r="C2" s="1" t="s">
        <v>12</v>
      </c>
      <c r="D2" s="1" t="s">
        <v>13</v>
      </c>
      <c r="E2" s="5">
        <v>44927</v>
      </c>
      <c r="F2">
        <v>10</v>
      </c>
      <c r="G2">
        <v>3</v>
      </c>
      <c r="H2">
        <v>3</v>
      </c>
      <c r="I2">
        <v>153</v>
      </c>
      <c r="J2">
        <v>158</v>
      </c>
      <c r="K2">
        <v>5</v>
      </c>
      <c r="L2">
        <v>0</v>
      </c>
      <c r="M2" s="1" t="s">
        <v>25</v>
      </c>
      <c r="N2">
        <v>6</v>
      </c>
      <c r="O2">
        <v>1</v>
      </c>
      <c r="P2">
        <v>0</v>
      </c>
      <c r="Q2" s="1" t="s">
        <v>26</v>
      </c>
    </row>
    <row r="3" spans="1:17" x14ac:dyDescent="0.3">
      <c r="A3">
        <v>1002</v>
      </c>
      <c r="B3">
        <v>34</v>
      </c>
      <c r="C3" s="1" t="s">
        <v>14</v>
      </c>
      <c r="D3" s="1" t="s">
        <v>15</v>
      </c>
      <c r="E3" s="5">
        <v>44928</v>
      </c>
      <c r="F3">
        <v>9</v>
      </c>
      <c r="G3">
        <v>0</v>
      </c>
      <c r="H3">
        <v>0</v>
      </c>
      <c r="I3">
        <v>78</v>
      </c>
      <c r="J3">
        <v>179</v>
      </c>
      <c r="K3">
        <v>4</v>
      </c>
      <c r="L3">
        <v>0</v>
      </c>
      <c r="M3" s="1" t="s">
        <v>27</v>
      </c>
      <c r="N3">
        <v>0</v>
      </c>
      <c r="O3">
        <v>1</v>
      </c>
      <c r="P3">
        <v>0</v>
      </c>
      <c r="Q3" s="1" t="s">
        <v>26</v>
      </c>
    </row>
    <row r="4" spans="1:17" x14ac:dyDescent="0.3">
      <c r="A4">
        <v>1003</v>
      </c>
      <c r="B4">
        <v>80</v>
      </c>
      <c r="C4" s="1" t="s">
        <v>12</v>
      </c>
      <c r="D4" s="1" t="s">
        <v>16</v>
      </c>
      <c r="E4" s="5">
        <v>44929</v>
      </c>
      <c r="F4">
        <v>5</v>
      </c>
      <c r="G4">
        <v>1</v>
      </c>
      <c r="H4">
        <v>1</v>
      </c>
      <c r="I4">
        <v>235</v>
      </c>
      <c r="J4">
        <v>151</v>
      </c>
      <c r="K4">
        <v>10</v>
      </c>
      <c r="L4">
        <v>1</v>
      </c>
      <c r="M4" s="1" t="s">
        <v>25</v>
      </c>
      <c r="N4">
        <v>2</v>
      </c>
      <c r="O4">
        <v>1</v>
      </c>
      <c r="P4">
        <v>1</v>
      </c>
      <c r="Q4" s="1" t="s">
        <v>29</v>
      </c>
    </row>
    <row r="5" spans="1:17" x14ac:dyDescent="0.3">
      <c r="A5">
        <v>1004</v>
      </c>
      <c r="B5">
        <v>40</v>
      </c>
      <c r="C5" s="1" t="s">
        <v>14</v>
      </c>
      <c r="D5" s="1" t="s">
        <v>15</v>
      </c>
      <c r="E5" s="5">
        <v>44930</v>
      </c>
      <c r="F5">
        <v>6</v>
      </c>
      <c r="G5">
        <v>2</v>
      </c>
      <c r="H5">
        <v>5</v>
      </c>
      <c r="I5">
        <v>245</v>
      </c>
      <c r="J5">
        <v>155</v>
      </c>
      <c r="K5">
        <v>1</v>
      </c>
      <c r="L5">
        <v>1</v>
      </c>
      <c r="M5" s="1" t="s">
        <v>27</v>
      </c>
      <c r="N5">
        <v>7</v>
      </c>
      <c r="O5">
        <v>1</v>
      </c>
      <c r="P5">
        <v>1</v>
      </c>
      <c r="Q5" s="1" t="s">
        <v>29</v>
      </c>
    </row>
    <row r="6" spans="1:17" x14ac:dyDescent="0.3">
      <c r="A6">
        <v>1005</v>
      </c>
      <c r="B6">
        <v>43</v>
      </c>
      <c r="C6" s="1" t="s">
        <v>12</v>
      </c>
      <c r="D6" s="1" t="s">
        <v>16</v>
      </c>
      <c r="E6" s="5">
        <v>44931</v>
      </c>
      <c r="F6">
        <v>4</v>
      </c>
      <c r="G6">
        <v>1</v>
      </c>
      <c r="H6">
        <v>0</v>
      </c>
      <c r="I6">
        <v>132</v>
      </c>
      <c r="J6">
        <v>153</v>
      </c>
      <c r="K6">
        <v>10</v>
      </c>
      <c r="L6">
        <v>0</v>
      </c>
      <c r="M6" s="1" t="s">
        <v>27</v>
      </c>
      <c r="N6">
        <v>1</v>
      </c>
      <c r="O6">
        <v>1</v>
      </c>
      <c r="P6">
        <v>0</v>
      </c>
      <c r="Q6" s="1" t="s">
        <v>29</v>
      </c>
    </row>
    <row r="7" spans="1:17" x14ac:dyDescent="0.3">
      <c r="A7">
        <v>1006</v>
      </c>
      <c r="B7">
        <v>22</v>
      </c>
      <c r="C7" s="1" t="s">
        <v>14</v>
      </c>
      <c r="D7" s="1" t="s">
        <v>16</v>
      </c>
      <c r="E7" s="5">
        <v>44932</v>
      </c>
      <c r="F7">
        <v>10</v>
      </c>
      <c r="G7">
        <v>1</v>
      </c>
      <c r="H7">
        <v>3</v>
      </c>
      <c r="I7">
        <v>186</v>
      </c>
      <c r="J7">
        <v>159</v>
      </c>
      <c r="K7">
        <v>6</v>
      </c>
      <c r="L7">
        <v>0</v>
      </c>
      <c r="M7" s="1" t="s">
        <v>30</v>
      </c>
      <c r="N7">
        <v>4</v>
      </c>
      <c r="O7">
        <v>1</v>
      </c>
      <c r="P7">
        <v>1</v>
      </c>
      <c r="Q7" s="1" t="s">
        <v>26</v>
      </c>
    </row>
    <row r="8" spans="1:17" x14ac:dyDescent="0.3">
      <c r="A8">
        <v>1007</v>
      </c>
      <c r="B8">
        <v>41</v>
      </c>
      <c r="C8" s="1" t="s">
        <v>14</v>
      </c>
      <c r="D8" s="1" t="s">
        <v>13</v>
      </c>
      <c r="E8" s="5">
        <v>44933</v>
      </c>
      <c r="F8">
        <v>2</v>
      </c>
      <c r="G8">
        <v>2</v>
      </c>
      <c r="H8">
        <v>4</v>
      </c>
      <c r="I8">
        <v>199</v>
      </c>
      <c r="J8">
        <v>152</v>
      </c>
      <c r="K8">
        <v>2</v>
      </c>
      <c r="L8">
        <v>0</v>
      </c>
      <c r="M8" s="1" t="s">
        <v>27</v>
      </c>
      <c r="N8">
        <v>6</v>
      </c>
      <c r="O8">
        <v>1</v>
      </c>
      <c r="P8">
        <v>1</v>
      </c>
      <c r="Q8" s="1" t="s">
        <v>31</v>
      </c>
    </row>
    <row r="9" spans="1:17" x14ac:dyDescent="0.3">
      <c r="A9">
        <v>1008</v>
      </c>
      <c r="B9">
        <v>72</v>
      </c>
      <c r="C9" s="1" t="s">
        <v>14</v>
      </c>
      <c r="D9" s="1" t="s">
        <v>17</v>
      </c>
      <c r="E9" s="5">
        <v>44934</v>
      </c>
      <c r="F9">
        <v>11</v>
      </c>
      <c r="G9">
        <v>1</v>
      </c>
      <c r="H9">
        <v>0</v>
      </c>
      <c r="I9">
        <v>157</v>
      </c>
      <c r="J9">
        <v>162</v>
      </c>
      <c r="K9">
        <v>3</v>
      </c>
      <c r="L9">
        <v>0</v>
      </c>
      <c r="M9" s="1" t="s">
        <v>25</v>
      </c>
      <c r="N9">
        <v>1</v>
      </c>
      <c r="O9">
        <v>1</v>
      </c>
      <c r="P9">
        <v>0</v>
      </c>
      <c r="Q9" s="1" t="s">
        <v>26</v>
      </c>
    </row>
    <row r="10" spans="1:17" x14ac:dyDescent="0.3">
      <c r="A10">
        <v>1009</v>
      </c>
      <c r="B10">
        <v>21</v>
      </c>
      <c r="C10" s="1" t="s">
        <v>14</v>
      </c>
      <c r="D10" s="1" t="s">
        <v>18</v>
      </c>
      <c r="E10" s="5">
        <v>44935</v>
      </c>
      <c r="F10">
        <v>8</v>
      </c>
      <c r="G10">
        <v>2</v>
      </c>
      <c r="H10">
        <v>5</v>
      </c>
      <c r="I10">
        <v>141</v>
      </c>
      <c r="J10">
        <v>122</v>
      </c>
      <c r="K10">
        <v>8</v>
      </c>
      <c r="L10">
        <v>0</v>
      </c>
      <c r="M10" s="1" t="s">
        <v>30</v>
      </c>
      <c r="N10">
        <v>7</v>
      </c>
      <c r="O10">
        <v>0</v>
      </c>
      <c r="P10">
        <v>0</v>
      </c>
      <c r="Q10" s="1" t="s">
        <v>26</v>
      </c>
    </row>
    <row r="11" spans="1:17" x14ac:dyDescent="0.3">
      <c r="A11">
        <v>1010</v>
      </c>
      <c r="B11">
        <v>49</v>
      </c>
      <c r="C11" s="1" t="s">
        <v>14</v>
      </c>
      <c r="D11" s="1" t="s">
        <v>13</v>
      </c>
      <c r="E11" s="5">
        <v>44936</v>
      </c>
      <c r="F11">
        <v>11</v>
      </c>
      <c r="G11">
        <v>0</v>
      </c>
      <c r="H11">
        <v>0</v>
      </c>
      <c r="I11">
        <v>208</v>
      </c>
      <c r="J11">
        <v>130</v>
      </c>
      <c r="K11">
        <v>10</v>
      </c>
      <c r="L11">
        <v>1</v>
      </c>
      <c r="M11" s="1" t="s">
        <v>32</v>
      </c>
      <c r="N11">
        <v>0</v>
      </c>
      <c r="O11">
        <v>0</v>
      </c>
      <c r="P11">
        <v>1</v>
      </c>
      <c r="Q11" s="1" t="s">
        <v>26</v>
      </c>
    </row>
    <row r="12" spans="1:17" x14ac:dyDescent="0.3">
      <c r="A12">
        <v>1011</v>
      </c>
      <c r="B12">
        <v>57</v>
      </c>
      <c r="C12" s="1" t="s">
        <v>14</v>
      </c>
      <c r="D12" s="1" t="s">
        <v>13</v>
      </c>
      <c r="E12" s="5">
        <v>44937</v>
      </c>
      <c r="F12">
        <v>13</v>
      </c>
      <c r="G12">
        <v>2</v>
      </c>
      <c r="H12">
        <v>2</v>
      </c>
      <c r="I12">
        <v>133</v>
      </c>
      <c r="J12">
        <v>178</v>
      </c>
      <c r="K12">
        <v>6</v>
      </c>
      <c r="L12">
        <v>1</v>
      </c>
      <c r="M12" s="1" t="s">
        <v>32</v>
      </c>
      <c r="N12">
        <v>4</v>
      </c>
      <c r="O12">
        <v>1</v>
      </c>
      <c r="P12">
        <v>0</v>
      </c>
      <c r="Q12" s="1" t="s">
        <v>26</v>
      </c>
    </row>
    <row r="13" spans="1:17" x14ac:dyDescent="0.3">
      <c r="A13">
        <v>1012</v>
      </c>
      <c r="B13">
        <v>21</v>
      </c>
      <c r="C13" s="1" t="s">
        <v>12</v>
      </c>
      <c r="D13" s="1" t="s">
        <v>17</v>
      </c>
      <c r="E13" s="5">
        <v>44938</v>
      </c>
      <c r="F13">
        <v>6</v>
      </c>
      <c r="G13">
        <v>2</v>
      </c>
      <c r="H13">
        <v>4</v>
      </c>
      <c r="I13">
        <v>141</v>
      </c>
      <c r="J13">
        <v>137</v>
      </c>
      <c r="K13">
        <v>3</v>
      </c>
      <c r="L13">
        <v>1</v>
      </c>
      <c r="M13" s="1" t="s">
        <v>30</v>
      </c>
      <c r="N13">
        <v>6</v>
      </c>
      <c r="O13">
        <v>0</v>
      </c>
      <c r="P13">
        <v>0</v>
      </c>
      <c r="Q13" s="1" t="s">
        <v>29</v>
      </c>
    </row>
    <row r="14" spans="1:17" x14ac:dyDescent="0.3">
      <c r="A14">
        <v>1013</v>
      </c>
      <c r="B14">
        <v>83</v>
      </c>
      <c r="C14" s="1" t="s">
        <v>12</v>
      </c>
      <c r="D14" s="1" t="s">
        <v>18</v>
      </c>
      <c r="E14" s="5">
        <v>44939</v>
      </c>
      <c r="F14">
        <v>5</v>
      </c>
      <c r="G14">
        <v>3</v>
      </c>
      <c r="H14">
        <v>5</v>
      </c>
      <c r="I14">
        <v>90</v>
      </c>
      <c r="J14">
        <v>102</v>
      </c>
      <c r="K14">
        <v>7</v>
      </c>
      <c r="L14">
        <v>0</v>
      </c>
      <c r="M14" s="1" t="s">
        <v>25</v>
      </c>
      <c r="N14">
        <v>8</v>
      </c>
      <c r="O14">
        <v>0</v>
      </c>
      <c r="P14">
        <v>0</v>
      </c>
      <c r="Q14" s="1" t="s">
        <v>29</v>
      </c>
    </row>
    <row r="15" spans="1:17" x14ac:dyDescent="0.3">
      <c r="A15">
        <v>1014</v>
      </c>
      <c r="B15">
        <v>79</v>
      </c>
      <c r="C15" s="1" t="s">
        <v>12</v>
      </c>
      <c r="D15" s="1" t="s">
        <v>15</v>
      </c>
      <c r="E15" s="5">
        <v>44940</v>
      </c>
      <c r="F15">
        <v>9</v>
      </c>
      <c r="G15">
        <v>2</v>
      </c>
      <c r="H15">
        <v>5</v>
      </c>
      <c r="I15">
        <v>87</v>
      </c>
      <c r="J15">
        <v>162</v>
      </c>
      <c r="K15">
        <v>4</v>
      </c>
      <c r="L15">
        <v>1</v>
      </c>
      <c r="M15" s="1" t="s">
        <v>25</v>
      </c>
      <c r="N15">
        <v>7</v>
      </c>
      <c r="O15">
        <v>1</v>
      </c>
      <c r="P15">
        <v>0</v>
      </c>
      <c r="Q15" s="1" t="s">
        <v>26</v>
      </c>
    </row>
    <row r="16" spans="1:17" x14ac:dyDescent="0.3">
      <c r="A16">
        <v>1015</v>
      </c>
      <c r="B16">
        <v>40</v>
      </c>
      <c r="C16" s="1" t="s">
        <v>14</v>
      </c>
      <c r="D16" s="1" t="s">
        <v>15</v>
      </c>
      <c r="E16" s="5">
        <v>44941</v>
      </c>
      <c r="F16">
        <v>1</v>
      </c>
      <c r="G16">
        <v>2</v>
      </c>
      <c r="H16">
        <v>1</v>
      </c>
      <c r="I16">
        <v>133</v>
      </c>
      <c r="J16">
        <v>166</v>
      </c>
      <c r="K16">
        <v>9</v>
      </c>
      <c r="L16">
        <v>1</v>
      </c>
      <c r="M16" s="1" t="s">
        <v>27</v>
      </c>
      <c r="N16">
        <v>3</v>
      </c>
      <c r="O16">
        <v>1</v>
      </c>
      <c r="P16">
        <v>0</v>
      </c>
      <c r="Q16" s="1" t="s">
        <v>31</v>
      </c>
    </row>
    <row r="17" spans="1:17" x14ac:dyDescent="0.3">
      <c r="A17">
        <v>1016</v>
      </c>
      <c r="B17">
        <v>52</v>
      </c>
      <c r="C17" s="1" t="s">
        <v>14</v>
      </c>
      <c r="D17" s="1" t="s">
        <v>13</v>
      </c>
      <c r="E17" s="5">
        <v>44942</v>
      </c>
      <c r="F17">
        <v>5</v>
      </c>
      <c r="G17">
        <v>0</v>
      </c>
      <c r="H17">
        <v>3</v>
      </c>
      <c r="I17">
        <v>151</v>
      </c>
      <c r="J17">
        <v>120</v>
      </c>
      <c r="K17">
        <v>5</v>
      </c>
      <c r="L17">
        <v>0</v>
      </c>
      <c r="M17" s="1" t="s">
        <v>32</v>
      </c>
      <c r="N17">
        <v>3</v>
      </c>
      <c r="O17">
        <v>0</v>
      </c>
      <c r="P17">
        <v>0</v>
      </c>
      <c r="Q17" s="1" t="s">
        <v>29</v>
      </c>
    </row>
    <row r="18" spans="1:17" x14ac:dyDescent="0.3">
      <c r="A18">
        <v>1017</v>
      </c>
      <c r="B18">
        <v>77</v>
      </c>
      <c r="C18" s="1" t="s">
        <v>14</v>
      </c>
      <c r="D18" s="1" t="s">
        <v>18</v>
      </c>
      <c r="E18" s="5">
        <v>44943</v>
      </c>
      <c r="F18">
        <v>6</v>
      </c>
      <c r="G18">
        <v>3</v>
      </c>
      <c r="H18">
        <v>1</v>
      </c>
      <c r="I18">
        <v>179</v>
      </c>
      <c r="J18">
        <v>164</v>
      </c>
      <c r="K18">
        <v>3</v>
      </c>
      <c r="L18">
        <v>1</v>
      </c>
      <c r="M18" s="1" t="s">
        <v>25</v>
      </c>
      <c r="N18">
        <v>4</v>
      </c>
      <c r="O18">
        <v>1</v>
      </c>
      <c r="P18">
        <v>0</v>
      </c>
      <c r="Q18" s="1" t="s">
        <v>29</v>
      </c>
    </row>
    <row r="19" spans="1:17" x14ac:dyDescent="0.3">
      <c r="A19">
        <v>1018</v>
      </c>
      <c r="B19">
        <v>41</v>
      </c>
      <c r="C19" s="1" t="s">
        <v>14</v>
      </c>
      <c r="D19" s="1" t="s">
        <v>13</v>
      </c>
      <c r="E19" s="5">
        <v>44944</v>
      </c>
      <c r="F19">
        <v>5</v>
      </c>
      <c r="G19">
        <v>4</v>
      </c>
      <c r="H19">
        <v>5</v>
      </c>
      <c r="I19">
        <v>164</v>
      </c>
      <c r="J19">
        <v>157</v>
      </c>
      <c r="K19">
        <v>2</v>
      </c>
      <c r="L19">
        <v>1</v>
      </c>
      <c r="M19" s="1" t="s">
        <v>27</v>
      </c>
      <c r="N19">
        <v>9</v>
      </c>
      <c r="O19">
        <v>1</v>
      </c>
      <c r="P19">
        <v>0</v>
      </c>
      <c r="Q19" s="1" t="s">
        <v>29</v>
      </c>
    </row>
    <row r="20" spans="1:17" x14ac:dyDescent="0.3">
      <c r="A20">
        <v>1019</v>
      </c>
      <c r="B20">
        <v>68</v>
      </c>
      <c r="C20" s="1" t="s">
        <v>12</v>
      </c>
      <c r="D20" s="1" t="s">
        <v>16</v>
      </c>
      <c r="E20" s="5">
        <v>44945</v>
      </c>
      <c r="F20">
        <v>6</v>
      </c>
      <c r="G20">
        <v>0</v>
      </c>
      <c r="H20">
        <v>4</v>
      </c>
      <c r="I20">
        <v>235</v>
      </c>
      <c r="J20">
        <v>93</v>
      </c>
      <c r="K20">
        <v>11</v>
      </c>
      <c r="L20">
        <v>0</v>
      </c>
      <c r="M20" s="1" t="s">
        <v>25</v>
      </c>
      <c r="N20">
        <v>4</v>
      </c>
      <c r="O20">
        <v>0</v>
      </c>
      <c r="P20">
        <v>1</v>
      </c>
      <c r="Q20" s="1" t="s">
        <v>29</v>
      </c>
    </row>
    <row r="21" spans="1:17" x14ac:dyDescent="0.3">
      <c r="A21">
        <v>1020</v>
      </c>
      <c r="B21">
        <v>78</v>
      </c>
      <c r="C21" s="1" t="s">
        <v>12</v>
      </c>
      <c r="D21" s="1" t="s">
        <v>13</v>
      </c>
      <c r="E21" s="5">
        <v>44946</v>
      </c>
      <c r="F21">
        <v>6</v>
      </c>
      <c r="G21">
        <v>0</v>
      </c>
      <c r="H21">
        <v>0</v>
      </c>
      <c r="I21">
        <v>101</v>
      </c>
      <c r="J21">
        <v>108</v>
      </c>
      <c r="K21">
        <v>2</v>
      </c>
      <c r="L21">
        <v>0</v>
      </c>
      <c r="M21" s="1" t="s">
        <v>25</v>
      </c>
      <c r="N21">
        <v>0</v>
      </c>
      <c r="O21">
        <v>0</v>
      </c>
      <c r="P21">
        <v>0</v>
      </c>
      <c r="Q21" s="1" t="s">
        <v>29</v>
      </c>
    </row>
    <row r="22" spans="1:17" x14ac:dyDescent="0.3">
      <c r="A22">
        <v>1021</v>
      </c>
      <c r="B22">
        <v>61</v>
      </c>
      <c r="C22" s="1" t="s">
        <v>14</v>
      </c>
      <c r="D22" s="1" t="s">
        <v>13</v>
      </c>
      <c r="E22" s="5">
        <v>44947</v>
      </c>
      <c r="F22">
        <v>7</v>
      </c>
      <c r="G22">
        <v>4</v>
      </c>
      <c r="H22">
        <v>0</v>
      </c>
      <c r="I22">
        <v>80</v>
      </c>
      <c r="J22">
        <v>159</v>
      </c>
      <c r="K22">
        <v>3</v>
      </c>
      <c r="L22">
        <v>0</v>
      </c>
      <c r="M22" s="1" t="s">
        <v>25</v>
      </c>
      <c r="N22">
        <v>4</v>
      </c>
      <c r="O22">
        <v>1</v>
      </c>
      <c r="P22">
        <v>0</v>
      </c>
      <c r="Q22" s="1" t="s">
        <v>29</v>
      </c>
    </row>
    <row r="23" spans="1:17" x14ac:dyDescent="0.3">
      <c r="A23">
        <v>1022</v>
      </c>
      <c r="B23">
        <v>79</v>
      </c>
      <c r="C23" s="1" t="s">
        <v>12</v>
      </c>
      <c r="D23" s="1" t="s">
        <v>15</v>
      </c>
      <c r="E23" s="5">
        <v>44948</v>
      </c>
      <c r="F23">
        <v>4</v>
      </c>
      <c r="G23">
        <v>2</v>
      </c>
      <c r="H23">
        <v>4</v>
      </c>
      <c r="I23">
        <v>114</v>
      </c>
      <c r="J23">
        <v>171</v>
      </c>
      <c r="K23">
        <v>2</v>
      </c>
      <c r="L23">
        <v>0</v>
      </c>
      <c r="M23" s="1" t="s">
        <v>25</v>
      </c>
      <c r="N23">
        <v>6</v>
      </c>
      <c r="O23">
        <v>1</v>
      </c>
      <c r="P23">
        <v>0</v>
      </c>
      <c r="Q23" s="1" t="s">
        <v>29</v>
      </c>
    </row>
    <row r="24" spans="1:17" x14ac:dyDescent="0.3">
      <c r="A24">
        <v>1023</v>
      </c>
      <c r="B24">
        <v>34</v>
      </c>
      <c r="C24" s="1" t="s">
        <v>12</v>
      </c>
      <c r="D24" s="1" t="s">
        <v>15</v>
      </c>
      <c r="E24" s="5">
        <v>44949</v>
      </c>
      <c r="F24">
        <v>14</v>
      </c>
      <c r="G24">
        <v>1</v>
      </c>
      <c r="H24">
        <v>5</v>
      </c>
      <c r="I24">
        <v>102</v>
      </c>
      <c r="J24">
        <v>102</v>
      </c>
      <c r="K24">
        <v>4</v>
      </c>
      <c r="L24">
        <v>0</v>
      </c>
      <c r="M24" s="1" t="s">
        <v>27</v>
      </c>
      <c r="N24">
        <v>6</v>
      </c>
      <c r="O24">
        <v>0</v>
      </c>
      <c r="P24">
        <v>0</v>
      </c>
      <c r="Q24" s="1" t="s">
        <v>26</v>
      </c>
    </row>
    <row r="25" spans="1:17" x14ac:dyDescent="0.3">
      <c r="A25">
        <v>1024</v>
      </c>
      <c r="B25">
        <v>81</v>
      </c>
      <c r="C25" s="1" t="s">
        <v>14</v>
      </c>
      <c r="D25" s="1" t="s">
        <v>15</v>
      </c>
      <c r="E25" s="5">
        <v>44950</v>
      </c>
      <c r="F25">
        <v>11</v>
      </c>
      <c r="G25">
        <v>3</v>
      </c>
      <c r="H25">
        <v>0</v>
      </c>
      <c r="I25">
        <v>171</v>
      </c>
      <c r="J25">
        <v>112</v>
      </c>
      <c r="K25">
        <v>2</v>
      </c>
      <c r="L25">
        <v>1</v>
      </c>
      <c r="M25" s="1" t="s">
        <v>25</v>
      </c>
      <c r="N25">
        <v>3</v>
      </c>
      <c r="O25">
        <v>0</v>
      </c>
      <c r="P25">
        <v>0</v>
      </c>
      <c r="Q25" s="1" t="s">
        <v>26</v>
      </c>
    </row>
    <row r="26" spans="1:17" x14ac:dyDescent="0.3">
      <c r="A26">
        <v>1025</v>
      </c>
      <c r="B26">
        <v>81</v>
      </c>
      <c r="C26" s="1" t="s">
        <v>12</v>
      </c>
      <c r="D26" s="1" t="s">
        <v>16</v>
      </c>
      <c r="E26" s="5">
        <v>44951</v>
      </c>
      <c r="F26">
        <v>14</v>
      </c>
      <c r="G26">
        <v>1</v>
      </c>
      <c r="H26">
        <v>0</v>
      </c>
      <c r="I26">
        <v>238</v>
      </c>
      <c r="J26">
        <v>172</v>
      </c>
      <c r="K26">
        <v>10</v>
      </c>
      <c r="L26">
        <v>0</v>
      </c>
      <c r="M26" s="1" t="s">
        <v>25</v>
      </c>
      <c r="N26">
        <v>1</v>
      </c>
      <c r="O26">
        <v>1</v>
      </c>
      <c r="P26">
        <v>1</v>
      </c>
      <c r="Q26" s="1" t="s">
        <v>26</v>
      </c>
    </row>
    <row r="27" spans="1:17" x14ac:dyDescent="0.3">
      <c r="A27">
        <v>1026</v>
      </c>
      <c r="B27">
        <v>66</v>
      </c>
      <c r="C27" s="1" t="s">
        <v>14</v>
      </c>
      <c r="D27" s="1" t="s">
        <v>15</v>
      </c>
      <c r="E27" s="5">
        <v>44952</v>
      </c>
      <c r="F27">
        <v>14</v>
      </c>
      <c r="G27">
        <v>4</v>
      </c>
      <c r="H27">
        <v>0</v>
      </c>
      <c r="I27">
        <v>205</v>
      </c>
      <c r="J27">
        <v>164</v>
      </c>
      <c r="K27">
        <v>9</v>
      </c>
      <c r="L27">
        <v>0</v>
      </c>
      <c r="M27" s="1" t="s">
        <v>25</v>
      </c>
      <c r="N27">
        <v>4</v>
      </c>
      <c r="O27">
        <v>1</v>
      </c>
      <c r="P27">
        <v>1</v>
      </c>
      <c r="Q27" s="1" t="s">
        <v>26</v>
      </c>
    </row>
    <row r="28" spans="1:17" x14ac:dyDescent="0.3">
      <c r="A28">
        <v>1027</v>
      </c>
      <c r="B28">
        <v>81</v>
      </c>
      <c r="C28" s="1" t="s">
        <v>12</v>
      </c>
      <c r="D28" s="1" t="s">
        <v>18</v>
      </c>
      <c r="E28" s="5">
        <v>44953</v>
      </c>
      <c r="F28">
        <v>14</v>
      </c>
      <c r="G28">
        <v>0</v>
      </c>
      <c r="H28">
        <v>3</v>
      </c>
      <c r="I28">
        <v>80</v>
      </c>
      <c r="J28">
        <v>90</v>
      </c>
      <c r="K28">
        <v>2</v>
      </c>
      <c r="L28">
        <v>0</v>
      </c>
      <c r="M28" s="1" t="s">
        <v>25</v>
      </c>
      <c r="N28">
        <v>3</v>
      </c>
      <c r="O28">
        <v>0</v>
      </c>
      <c r="P28">
        <v>0</v>
      </c>
      <c r="Q28" s="1" t="s">
        <v>26</v>
      </c>
    </row>
    <row r="29" spans="1:17" x14ac:dyDescent="0.3">
      <c r="A29">
        <v>1028</v>
      </c>
      <c r="B29">
        <v>70</v>
      </c>
      <c r="C29" s="1" t="s">
        <v>14</v>
      </c>
      <c r="D29" s="1" t="s">
        <v>17</v>
      </c>
      <c r="E29" s="5">
        <v>44954</v>
      </c>
      <c r="F29">
        <v>8</v>
      </c>
      <c r="G29">
        <v>0</v>
      </c>
      <c r="H29">
        <v>3</v>
      </c>
      <c r="I29">
        <v>248</v>
      </c>
      <c r="J29">
        <v>177</v>
      </c>
      <c r="K29">
        <v>9</v>
      </c>
      <c r="L29">
        <v>0</v>
      </c>
      <c r="M29" s="1" t="s">
        <v>25</v>
      </c>
      <c r="N29">
        <v>3</v>
      </c>
      <c r="O29">
        <v>1</v>
      </c>
      <c r="P29">
        <v>1</v>
      </c>
      <c r="Q29" s="1" t="s">
        <v>26</v>
      </c>
    </row>
    <row r="30" spans="1:17" x14ac:dyDescent="0.3">
      <c r="A30">
        <v>1029</v>
      </c>
      <c r="B30">
        <v>74</v>
      </c>
      <c r="C30" s="1" t="s">
        <v>14</v>
      </c>
      <c r="D30" s="1" t="s">
        <v>18</v>
      </c>
      <c r="E30" s="5">
        <v>44955</v>
      </c>
      <c r="F30">
        <v>7</v>
      </c>
      <c r="G30">
        <v>3</v>
      </c>
      <c r="H30">
        <v>2</v>
      </c>
      <c r="I30">
        <v>157</v>
      </c>
      <c r="J30">
        <v>143</v>
      </c>
      <c r="K30">
        <v>6</v>
      </c>
      <c r="L30">
        <v>0</v>
      </c>
      <c r="M30" s="1" t="s">
        <v>25</v>
      </c>
      <c r="N30">
        <v>5</v>
      </c>
      <c r="O30">
        <v>1</v>
      </c>
      <c r="P30">
        <v>0</v>
      </c>
      <c r="Q30" s="1" t="s">
        <v>29</v>
      </c>
    </row>
    <row r="31" spans="1:17" x14ac:dyDescent="0.3">
      <c r="A31">
        <v>1030</v>
      </c>
      <c r="B31">
        <v>83</v>
      </c>
      <c r="C31" s="1" t="s">
        <v>14</v>
      </c>
      <c r="D31" s="1" t="s">
        <v>18</v>
      </c>
      <c r="E31" s="5">
        <v>44956</v>
      </c>
      <c r="F31">
        <v>9</v>
      </c>
      <c r="G31">
        <v>0</v>
      </c>
      <c r="H31">
        <v>1</v>
      </c>
      <c r="I31">
        <v>110</v>
      </c>
      <c r="J31">
        <v>160</v>
      </c>
      <c r="K31">
        <v>1</v>
      </c>
      <c r="L31">
        <v>0</v>
      </c>
      <c r="M31" s="1" t="s">
        <v>25</v>
      </c>
      <c r="N31">
        <v>1</v>
      </c>
      <c r="O31">
        <v>1</v>
      </c>
      <c r="P31">
        <v>0</v>
      </c>
      <c r="Q31" s="1" t="s">
        <v>26</v>
      </c>
    </row>
    <row r="32" spans="1:17" x14ac:dyDescent="0.3">
      <c r="A32">
        <v>1031</v>
      </c>
      <c r="B32">
        <v>22</v>
      </c>
      <c r="C32" s="1" t="s">
        <v>14</v>
      </c>
      <c r="D32" s="1" t="s">
        <v>15</v>
      </c>
      <c r="E32" s="5">
        <v>44957</v>
      </c>
      <c r="F32">
        <v>7</v>
      </c>
      <c r="G32">
        <v>0</v>
      </c>
      <c r="H32">
        <v>4</v>
      </c>
      <c r="I32">
        <v>214</v>
      </c>
      <c r="J32">
        <v>178</v>
      </c>
      <c r="K32">
        <v>4</v>
      </c>
      <c r="L32">
        <v>0</v>
      </c>
      <c r="M32" s="1" t="s">
        <v>30</v>
      </c>
      <c r="N32">
        <v>4</v>
      </c>
      <c r="O32">
        <v>1</v>
      </c>
      <c r="P32">
        <v>1</v>
      </c>
      <c r="Q32" s="1" t="s">
        <v>29</v>
      </c>
    </row>
    <row r="33" spans="1:17" x14ac:dyDescent="0.3">
      <c r="A33">
        <v>1032</v>
      </c>
      <c r="B33">
        <v>70</v>
      </c>
      <c r="C33" s="1" t="s">
        <v>12</v>
      </c>
      <c r="D33" s="1" t="s">
        <v>17</v>
      </c>
      <c r="E33" s="5">
        <v>44958</v>
      </c>
      <c r="F33">
        <v>3</v>
      </c>
      <c r="G33">
        <v>3</v>
      </c>
      <c r="H33">
        <v>4</v>
      </c>
      <c r="I33">
        <v>145</v>
      </c>
      <c r="J33">
        <v>174</v>
      </c>
      <c r="K33">
        <v>1</v>
      </c>
      <c r="L33">
        <v>0</v>
      </c>
      <c r="M33" s="1" t="s">
        <v>25</v>
      </c>
      <c r="N33">
        <v>7</v>
      </c>
      <c r="O33">
        <v>1</v>
      </c>
      <c r="P33">
        <v>0</v>
      </c>
      <c r="Q33" s="1" t="s">
        <v>31</v>
      </c>
    </row>
    <row r="34" spans="1:17" x14ac:dyDescent="0.3">
      <c r="A34">
        <v>1033</v>
      </c>
      <c r="B34">
        <v>26</v>
      </c>
      <c r="C34" s="1" t="s">
        <v>14</v>
      </c>
      <c r="D34" s="1" t="s">
        <v>17</v>
      </c>
      <c r="E34" s="5">
        <v>44959</v>
      </c>
      <c r="F34">
        <v>3</v>
      </c>
      <c r="G34">
        <v>3</v>
      </c>
      <c r="H34">
        <v>4</v>
      </c>
      <c r="I34">
        <v>190</v>
      </c>
      <c r="J34">
        <v>104</v>
      </c>
      <c r="K34">
        <v>6</v>
      </c>
      <c r="L34">
        <v>0</v>
      </c>
      <c r="M34" s="1" t="s">
        <v>30</v>
      </c>
      <c r="N34">
        <v>7</v>
      </c>
      <c r="O34">
        <v>0</v>
      </c>
      <c r="P34">
        <v>1</v>
      </c>
      <c r="Q34" s="1" t="s">
        <v>31</v>
      </c>
    </row>
    <row r="35" spans="1:17" x14ac:dyDescent="0.3">
      <c r="A35">
        <v>1034</v>
      </c>
      <c r="B35">
        <v>40</v>
      </c>
      <c r="C35" s="1" t="s">
        <v>14</v>
      </c>
      <c r="D35" s="1" t="s">
        <v>17</v>
      </c>
      <c r="E35" s="5">
        <v>44960</v>
      </c>
      <c r="F35">
        <v>8</v>
      </c>
      <c r="G35">
        <v>4</v>
      </c>
      <c r="H35">
        <v>2</v>
      </c>
      <c r="I35">
        <v>115</v>
      </c>
      <c r="J35">
        <v>154</v>
      </c>
      <c r="K35">
        <v>4</v>
      </c>
      <c r="L35">
        <v>0</v>
      </c>
      <c r="M35" s="1" t="s">
        <v>27</v>
      </c>
      <c r="N35">
        <v>6</v>
      </c>
      <c r="O35">
        <v>1</v>
      </c>
      <c r="P35">
        <v>0</v>
      </c>
      <c r="Q35" s="1" t="s">
        <v>26</v>
      </c>
    </row>
    <row r="36" spans="1:17" x14ac:dyDescent="0.3">
      <c r="A36">
        <v>1035</v>
      </c>
      <c r="B36">
        <v>58</v>
      </c>
      <c r="C36" s="1" t="s">
        <v>14</v>
      </c>
      <c r="D36" s="1" t="s">
        <v>16</v>
      </c>
      <c r="E36" s="5">
        <v>44961</v>
      </c>
      <c r="F36">
        <v>5</v>
      </c>
      <c r="G36">
        <v>0</v>
      </c>
      <c r="H36">
        <v>3</v>
      </c>
      <c r="I36">
        <v>229</v>
      </c>
      <c r="J36">
        <v>165</v>
      </c>
      <c r="K36">
        <v>3</v>
      </c>
      <c r="L36">
        <v>1</v>
      </c>
      <c r="M36" s="1" t="s">
        <v>32</v>
      </c>
      <c r="N36">
        <v>3</v>
      </c>
      <c r="O36">
        <v>1</v>
      </c>
      <c r="P36">
        <v>1</v>
      </c>
      <c r="Q36" s="1" t="s">
        <v>29</v>
      </c>
    </row>
    <row r="37" spans="1:17" x14ac:dyDescent="0.3">
      <c r="A37">
        <v>1036</v>
      </c>
      <c r="B37">
        <v>37</v>
      </c>
      <c r="C37" s="1" t="s">
        <v>12</v>
      </c>
      <c r="D37" s="1" t="s">
        <v>15</v>
      </c>
      <c r="E37" s="5">
        <v>44962</v>
      </c>
      <c r="F37">
        <v>4</v>
      </c>
      <c r="G37">
        <v>0</v>
      </c>
      <c r="H37">
        <v>5</v>
      </c>
      <c r="I37">
        <v>149</v>
      </c>
      <c r="J37">
        <v>160</v>
      </c>
      <c r="K37">
        <v>3</v>
      </c>
      <c r="L37">
        <v>0</v>
      </c>
      <c r="M37" s="1" t="s">
        <v>27</v>
      </c>
      <c r="N37">
        <v>5</v>
      </c>
      <c r="O37">
        <v>1</v>
      </c>
      <c r="P37">
        <v>0</v>
      </c>
      <c r="Q37" s="1" t="s">
        <v>29</v>
      </c>
    </row>
    <row r="38" spans="1:17" x14ac:dyDescent="0.3">
      <c r="A38">
        <v>1037</v>
      </c>
      <c r="B38">
        <v>23</v>
      </c>
      <c r="C38" s="1" t="s">
        <v>14</v>
      </c>
      <c r="D38" s="1" t="s">
        <v>17</v>
      </c>
      <c r="E38" s="5">
        <v>44963</v>
      </c>
      <c r="F38">
        <v>8</v>
      </c>
      <c r="G38">
        <v>4</v>
      </c>
      <c r="H38">
        <v>5</v>
      </c>
      <c r="I38">
        <v>123</v>
      </c>
      <c r="J38">
        <v>104</v>
      </c>
      <c r="K38">
        <v>9</v>
      </c>
      <c r="L38">
        <v>1</v>
      </c>
      <c r="M38" s="1" t="s">
        <v>30</v>
      </c>
      <c r="N38">
        <v>9</v>
      </c>
      <c r="O38">
        <v>0</v>
      </c>
      <c r="P38">
        <v>0</v>
      </c>
      <c r="Q38" s="1" t="s">
        <v>26</v>
      </c>
    </row>
    <row r="39" spans="1:17" x14ac:dyDescent="0.3">
      <c r="A39">
        <v>1038</v>
      </c>
      <c r="B39">
        <v>79</v>
      </c>
      <c r="C39" s="1" t="s">
        <v>12</v>
      </c>
      <c r="D39" s="1" t="s">
        <v>16</v>
      </c>
      <c r="E39" s="5">
        <v>44964</v>
      </c>
      <c r="F39">
        <v>6</v>
      </c>
      <c r="G39">
        <v>2</v>
      </c>
      <c r="H39">
        <v>2</v>
      </c>
      <c r="I39">
        <v>155</v>
      </c>
      <c r="J39">
        <v>110</v>
      </c>
      <c r="K39">
        <v>6</v>
      </c>
      <c r="L39">
        <v>0</v>
      </c>
      <c r="M39" s="1" t="s">
        <v>25</v>
      </c>
      <c r="N39">
        <v>4</v>
      </c>
      <c r="O39">
        <v>0</v>
      </c>
      <c r="P39">
        <v>0</v>
      </c>
      <c r="Q39" s="1" t="s">
        <v>29</v>
      </c>
    </row>
    <row r="40" spans="1:17" x14ac:dyDescent="0.3">
      <c r="A40">
        <v>1039</v>
      </c>
      <c r="B40">
        <v>33</v>
      </c>
      <c r="C40" s="1" t="s">
        <v>14</v>
      </c>
      <c r="D40" s="1" t="s">
        <v>13</v>
      </c>
      <c r="E40" s="5">
        <v>44965</v>
      </c>
      <c r="F40">
        <v>2</v>
      </c>
      <c r="G40">
        <v>2</v>
      </c>
      <c r="H40">
        <v>5</v>
      </c>
      <c r="I40">
        <v>161</v>
      </c>
      <c r="J40">
        <v>108</v>
      </c>
      <c r="K40">
        <v>9</v>
      </c>
      <c r="L40">
        <v>0</v>
      </c>
      <c r="M40" s="1" t="s">
        <v>27</v>
      </c>
      <c r="N40">
        <v>7</v>
      </c>
      <c r="O40">
        <v>0</v>
      </c>
      <c r="P40">
        <v>0</v>
      </c>
      <c r="Q40" s="1" t="s">
        <v>31</v>
      </c>
    </row>
    <row r="41" spans="1:17" x14ac:dyDescent="0.3">
      <c r="A41">
        <v>1040</v>
      </c>
      <c r="B41">
        <v>28</v>
      </c>
      <c r="C41" s="1" t="s">
        <v>12</v>
      </c>
      <c r="D41" s="1" t="s">
        <v>13</v>
      </c>
      <c r="E41" s="5">
        <v>44966</v>
      </c>
      <c r="F41">
        <v>4</v>
      </c>
      <c r="G41">
        <v>2</v>
      </c>
      <c r="H41">
        <v>4</v>
      </c>
      <c r="I41">
        <v>217</v>
      </c>
      <c r="J41">
        <v>149</v>
      </c>
      <c r="K41">
        <v>5</v>
      </c>
      <c r="L41">
        <v>1</v>
      </c>
      <c r="M41" s="1" t="s">
        <v>30</v>
      </c>
      <c r="N41">
        <v>6</v>
      </c>
      <c r="O41">
        <v>1</v>
      </c>
      <c r="P41">
        <v>1</v>
      </c>
      <c r="Q41" s="1" t="s">
        <v>29</v>
      </c>
    </row>
    <row r="42" spans="1:17" x14ac:dyDescent="0.3">
      <c r="A42">
        <v>1041</v>
      </c>
      <c r="B42">
        <v>72</v>
      </c>
      <c r="C42" s="1" t="s">
        <v>12</v>
      </c>
      <c r="D42" s="1" t="s">
        <v>16</v>
      </c>
      <c r="E42" s="5">
        <v>44967</v>
      </c>
      <c r="F42">
        <v>12</v>
      </c>
      <c r="G42">
        <v>4</v>
      </c>
      <c r="H42">
        <v>1</v>
      </c>
      <c r="I42">
        <v>230</v>
      </c>
      <c r="J42">
        <v>178</v>
      </c>
      <c r="K42">
        <v>2</v>
      </c>
      <c r="L42">
        <v>0</v>
      </c>
      <c r="M42" s="1" t="s">
        <v>25</v>
      </c>
      <c r="N42">
        <v>5</v>
      </c>
      <c r="O42">
        <v>1</v>
      </c>
      <c r="P42">
        <v>1</v>
      </c>
      <c r="Q42" s="1" t="s">
        <v>26</v>
      </c>
    </row>
    <row r="43" spans="1:17" x14ac:dyDescent="0.3">
      <c r="A43">
        <v>1042</v>
      </c>
      <c r="B43">
        <v>21</v>
      </c>
      <c r="C43" s="1" t="s">
        <v>14</v>
      </c>
      <c r="D43" s="1" t="s">
        <v>16</v>
      </c>
      <c r="E43" s="5">
        <v>44968</v>
      </c>
      <c r="F43">
        <v>11</v>
      </c>
      <c r="G43">
        <v>0</v>
      </c>
      <c r="H43">
        <v>0</v>
      </c>
      <c r="I43">
        <v>237</v>
      </c>
      <c r="J43">
        <v>122</v>
      </c>
      <c r="K43">
        <v>8</v>
      </c>
      <c r="L43">
        <v>0</v>
      </c>
      <c r="M43" s="1" t="s">
        <v>30</v>
      </c>
      <c r="N43">
        <v>0</v>
      </c>
      <c r="O43">
        <v>0</v>
      </c>
      <c r="P43">
        <v>1</v>
      </c>
      <c r="Q43" s="1" t="s">
        <v>26</v>
      </c>
    </row>
    <row r="44" spans="1:17" x14ac:dyDescent="0.3">
      <c r="A44">
        <v>1043</v>
      </c>
      <c r="B44">
        <v>79</v>
      </c>
      <c r="C44" s="1" t="s">
        <v>12</v>
      </c>
      <c r="D44" s="1" t="s">
        <v>15</v>
      </c>
      <c r="E44" s="5">
        <v>44969</v>
      </c>
      <c r="F44">
        <v>4</v>
      </c>
      <c r="G44">
        <v>4</v>
      </c>
      <c r="H44">
        <v>3</v>
      </c>
      <c r="I44">
        <v>229</v>
      </c>
      <c r="J44">
        <v>138</v>
      </c>
      <c r="K44">
        <v>5</v>
      </c>
      <c r="L44">
        <v>0</v>
      </c>
      <c r="M44" s="1" t="s">
        <v>25</v>
      </c>
      <c r="N44">
        <v>7</v>
      </c>
      <c r="O44">
        <v>0</v>
      </c>
      <c r="P44">
        <v>1</v>
      </c>
      <c r="Q44" s="1" t="s">
        <v>29</v>
      </c>
    </row>
    <row r="45" spans="1:17" x14ac:dyDescent="0.3">
      <c r="A45">
        <v>1044</v>
      </c>
      <c r="B45">
        <v>63</v>
      </c>
      <c r="C45" s="1" t="s">
        <v>14</v>
      </c>
      <c r="D45" s="1" t="s">
        <v>15</v>
      </c>
      <c r="E45" s="5">
        <v>44970</v>
      </c>
      <c r="F45">
        <v>6</v>
      </c>
      <c r="G45">
        <v>4</v>
      </c>
      <c r="H45">
        <v>3</v>
      </c>
      <c r="I45">
        <v>166</v>
      </c>
      <c r="J45">
        <v>124</v>
      </c>
      <c r="K45">
        <v>2</v>
      </c>
      <c r="L45">
        <v>0</v>
      </c>
      <c r="M45" s="1" t="s">
        <v>25</v>
      </c>
      <c r="N45">
        <v>7</v>
      </c>
      <c r="O45">
        <v>0</v>
      </c>
      <c r="P45">
        <v>0</v>
      </c>
      <c r="Q45" s="1" t="s">
        <v>29</v>
      </c>
    </row>
    <row r="46" spans="1:17" x14ac:dyDescent="0.3">
      <c r="A46">
        <v>1045</v>
      </c>
      <c r="B46">
        <v>27</v>
      </c>
      <c r="C46" s="1" t="s">
        <v>14</v>
      </c>
      <c r="D46" s="1" t="s">
        <v>13</v>
      </c>
      <c r="E46" s="5">
        <v>44971</v>
      </c>
      <c r="F46">
        <v>6</v>
      </c>
      <c r="G46">
        <v>2</v>
      </c>
      <c r="H46">
        <v>2</v>
      </c>
      <c r="I46">
        <v>71</v>
      </c>
      <c r="J46">
        <v>133</v>
      </c>
      <c r="K46">
        <v>4</v>
      </c>
      <c r="L46">
        <v>0</v>
      </c>
      <c r="M46" s="1" t="s">
        <v>30</v>
      </c>
      <c r="N46">
        <v>4</v>
      </c>
      <c r="O46">
        <v>0</v>
      </c>
      <c r="P46">
        <v>0</v>
      </c>
      <c r="Q46" s="1" t="s">
        <v>29</v>
      </c>
    </row>
    <row r="47" spans="1:17" x14ac:dyDescent="0.3">
      <c r="A47">
        <v>1046</v>
      </c>
      <c r="B47">
        <v>66</v>
      </c>
      <c r="C47" s="1" t="s">
        <v>14</v>
      </c>
      <c r="D47" s="1" t="s">
        <v>17</v>
      </c>
      <c r="E47" s="5">
        <v>44972</v>
      </c>
      <c r="F47">
        <v>1</v>
      </c>
      <c r="G47">
        <v>1</v>
      </c>
      <c r="H47">
        <v>3</v>
      </c>
      <c r="I47">
        <v>102</v>
      </c>
      <c r="J47">
        <v>179</v>
      </c>
      <c r="K47">
        <v>9</v>
      </c>
      <c r="L47">
        <v>0</v>
      </c>
      <c r="M47" s="1" t="s">
        <v>25</v>
      </c>
      <c r="N47">
        <v>4</v>
      </c>
      <c r="O47">
        <v>1</v>
      </c>
      <c r="P47">
        <v>0</v>
      </c>
      <c r="Q47" s="1" t="s">
        <v>31</v>
      </c>
    </row>
    <row r="48" spans="1:17" x14ac:dyDescent="0.3">
      <c r="A48">
        <v>1047</v>
      </c>
      <c r="B48">
        <v>54</v>
      </c>
      <c r="C48" s="1" t="s">
        <v>12</v>
      </c>
      <c r="D48" s="1" t="s">
        <v>13</v>
      </c>
      <c r="E48" s="5">
        <v>44973</v>
      </c>
      <c r="F48">
        <v>14</v>
      </c>
      <c r="G48">
        <v>0</v>
      </c>
      <c r="H48">
        <v>4</v>
      </c>
      <c r="I48">
        <v>227</v>
      </c>
      <c r="J48">
        <v>100</v>
      </c>
      <c r="K48">
        <v>4</v>
      </c>
      <c r="L48">
        <v>0</v>
      </c>
      <c r="M48" s="1" t="s">
        <v>32</v>
      </c>
      <c r="N48">
        <v>4</v>
      </c>
      <c r="O48">
        <v>0</v>
      </c>
      <c r="P48">
        <v>1</v>
      </c>
      <c r="Q48" s="1" t="s">
        <v>26</v>
      </c>
    </row>
    <row r="49" spans="1:17" x14ac:dyDescent="0.3">
      <c r="A49">
        <v>1048</v>
      </c>
      <c r="B49">
        <v>55</v>
      </c>
      <c r="C49" s="1" t="s">
        <v>12</v>
      </c>
      <c r="D49" s="1" t="s">
        <v>17</v>
      </c>
      <c r="E49" s="5">
        <v>44974</v>
      </c>
      <c r="F49">
        <v>8</v>
      </c>
      <c r="G49">
        <v>2</v>
      </c>
      <c r="H49">
        <v>5</v>
      </c>
      <c r="I49">
        <v>230</v>
      </c>
      <c r="J49">
        <v>161</v>
      </c>
      <c r="K49">
        <v>4</v>
      </c>
      <c r="L49">
        <v>0</v>
      </c>
      <c r="M49" s="1" t="s">
        <v>32</v>
      </c>
      <c r="N49">
        <v>7</v>
      </c>
      <c r="O49">
        <v>1</v>
      </c>
      <c r="P49">
        <v>1</v>
      </c>
      <c r="Q49" s="1" t="s">
        <v>26</v>
      </c>
    </row>
    <row r="50" spans="1:17" x14ac:dyDescent="0.3">
      <c r="A50">
        <v>1049</v>
      </c>
      <c r="B50">
        <v>69</v>
      </c>
      <c r="C50" s="1" t="s">
        <v>14</v>
      </c>
      <c r="D50" s="1" t="s">
        <v>17</v>
      </c>
      <c r="E50" s="5">
        <v>44975</v>
      </c>
      <c r="F50">
        <v>6</v>
      </c>
      <c r="G50">
        <v>1</v>
      </c>
      <c r="H50">
        <v>4</v>
      </c>
      <c r="I50">
        <v>146</v>
      </c>
      <c r="J50">
        <v>167</v>
      </c>
      <c r="K50">
        <v>2</v>
      </c>
      <c r="L50">
        <v>0</v>
      </c>
      <c r="M50" s="1" t="s">
        <v>25</v>
      </c>
      <c r="N50">
        <v>5</v>
      </c>
      <c r="O50">
        <v>1</v>
      </c>
      <c r="P50">
        <v>0</v>
      </c>
      <c r="Q50" s="1" t="s">
        <v>29</v>
      </c>
    </row>
    <row r="51" spans="1:17" x14ac:dyDescent="0.3">
      <c r="A51">
        <v>1050</v>
      </c>
      <c r="B51">
        <v>23</v>
      </c>
      <c r="C51" s="1" t="s">
        <v>14</v>
      </c>
      <c r="D51" s="1" t="s">
        <v>15</v>
      </c>
      <c r="E51" s="5">
        <v>44976</v>
      </c>
      <c r="F51">
        <v>3</v>
      </c>
      <c r="G51">
        <v>1</v>
      </c>
      <c r="H51">
        <v>2</v>
      </c>
      <c r="I51">
        <v>185</v>
      </c>
      <c r="J51">
        <v>163</v>
      </c>
      <c r="K51">
        <v>6</v>
      </c>
      <c r="L51">
        <v>1</v>
      </c>
      <c r="M51" s="1" t="s">
        <v>30</v>
      </c>
      <c r="N51">
        <v>3</v>
      </c>
      <c r="O51">
        <v>1</v>
      </c>
      <c r="P51">
        <v>1</v>
      </c>
      <c r="Q51" s="1" t="s">
        <v>31</v>
      </c>
    </row>
    <row r="52" spans="1:17" x14ac:dyDescent="0.3">
      <c r="A52">
        <v>1051</v>
      </c>
      <c r="B52">
        <v>21</v>
      </c>
      <c r="C52" s="1" t="s">
        <v>12</v>
      </c>
      <c r="D52" s="1" t="s">
        <v>18</v>
      </c>
      <c r="E52" s="5">
        <v>44977</v>
      </c>
      <c r="F52">
        <v>14</v>
      </c>
      <c r="G52">
        <v>3</v>
      </c>
      <c r="H52">
        <v>4</v>
      </c>
      <c r="I52">
        <v>223</v>
      </c>
      <c r="J52">
        <v>155</v>
      </c>
      <c r="K52">
        <v>11</v>
      </c>
      <c r="L52">
        <v>1</v>
      </c>
      <c r="M52" s="1" t="s">
        <v>30</v>
      </c>
      <c r="N52">
        <v>7</v>
      </c>
      <c r="O52">
        <v>1</v>
      </c>
      <c r="P52">
        <v>1</v>
      </c>
      <c r="Q52" s="1" t="s">
        <v>26</v>
      </c>
    </row>
    <row r="53" spans="1:17" x14ac:dyDescent="0.3">
      <c r="A53">
        <v>1052</v>
      </c>
      <c r="B53">
        <v>25</v>
      </c>
      <c r="C53" s="1" t="s">
        <v>14</v>
      </c>
      <c r="D53" s="1" t="s">
        <v>18</v>
      </c>
      <c r="E53" s="5">
        <v>44978</v>
      </c>
      <c r="F53">
        <v>9</v>
      </c>
      <c r="G53">
        <v>0</v>
      </c>
      <c r="H53">
        <v>5</v>
      </c>
      <c r="I53">
        <v>219</v>
      </c>
      <c r="J53">
        <v>135</v>
      </c>
      <c r="K53">
        <v>2</v>
      </c>
      <c r="L53">
        <v>0</v>
      </c>
      <c r="M53" s="1" t="s">
        <v>30</v>
      </c>
      <c r="N53">
        <v>5</v>
      </c>
      <c r="O53">
        <v>0</v>
      </c>
      <c r="P53">
        <v>1</v>
      </c>
      <c r="Q53" s="1" t="s">
        <v>26</v>
      </c>
    </row>
    <row r="54" spans="1:17" x14ac:dyDescent="0.3">
      <c r="A54">
        <v>1053</v>
      </c>
      <c r="B54">
        <v>73</v>
      </c>
      <c r="C54" s="1" t="s">
        <v>14</v>
      </c>
      <c r="D54" s="1" t="s">
        <v>16</v>
      </c>
      <c r="E54" s="5">
        <v>44979</v>
      </c>
      <c r="F54">
        <v>2</v>
      </c>
      <c r="G54">
        <v>1</v>
      </c>
      <c r="H54">
        <v>1</v>
      </c>
      <c r="I54">
        <v>172</v>
      </c>
      <c r="J54">
        <v>98</v>
      </c>
      <c r="K54">
        <v>7</v>
      </c>
      <c r="L54">
        <v>1</v>
      </c>
      <c r="M54" s="1" t="s">
        <v>25</v>
      </c>
      <c r="N54">
        <v>2</v>
      </c>
      <c r="O54">
        <v>0</v>
      </c>
      <c r="P54">
        <v>0</v>
      </c>
      <c r="Q54" s="1" t="s">
        <v>31</v>
      </c>
    </row>
    <row r="55" spans="1:17" x14ac:dyDescent="0.3">
      <c r="A55">
        <v>1054</v>
      </c>
      <c r="B55">
        <v>23</v>
      </c>
      <c r="C55" s="1" t="s">
        <v>14</v>
      </c>
      <c r="D55" s="1" t="s">
        <v>15</v>
      </c>
      <c r="E55" s="5">
        <v>44980</v>
      </c>
      <c r="F55">
        <v>11</v>
      </c>
      <c r="G55">
        <v>2</v>
      </c>
      <c r="H55">
        <v>2</v>
      </c>
      <c r="I55">
        <v>235</v>
      </c>
      <c r="J55">
        <v>92</v>
      </c>
      <c r="K55">
        <v>3</v>
      </c>
      <c r="L55">
        <v>0</v>
      </c>
      <c r="M55" s="1" t="s">
        <v>30</v>
      </c>
      <c r="N55">
        <v>4</v>
      </c>
      <c r="O55">
        <v>0</v>
      </c>
      <c r="P55">
        <v>1</v>
      </c>
      <c r="Q55" s="1" t="s">
        <v>26</v>
      </c>
    </row>
    <row r="56" spans="1:17" x14ac:dyDescent="0.3">
      <c r="A56">
        <v>1055</v>
      </c>
      <c r="B56">
        <v>73</v>
      </c>
      <c r="C56" s="1" t="s">
        <v>12</v>
      </c>
      <c r="D56" s="1" t="s">
        <v>17</v>
      </c>
      <c r="E56" s="5">
        <v>44981</v>
      </c>
      <c r="F56">
        <v>8</v>
      </c>
      <c r="G56">
        <v>3</v>
      </c>
      <c r="H56">
        <v>1</v>
      </c>
      <c r="I56">
        <v>172</v>
      </c>
      <c r="J56">
        <v>174</v>
      </c>
      <c r="K56">
        <v>3</v>
      </c>
      <c r="L56">
        <v>0</v>
      </c>
      <c r="M56" s="1" t="s">
        <v>25</v>
      </c>
      <c r="N56">
        <v>4</v>
      </c>
      <c r="O56">
        <v>1</v>
      </c>
      <c r="P56">
        <v>0</v>
      </c>
      <c r="Q56" s="1" t="s">
        <v>26</v>
      </c>
    </row>
    <row r="57" spans="1:17" x14ac:dyDescent="0.3">
      <c r="A57">
        <v>1056</v>
      </c>
      <c r="B57">
        <v>82</v>
      </c>
      <c r="C57" s="1" t="s">
        <v>12</v>
      </c>
      <c r="D57" s="1" t="s">
        <v>18</v>
      </c>
      <c r="E57" s="5">
        <v>44982</v>
      </c>
      <c r="F57">
        <v>10</v>
      </c>
      <c r="G57">
        <v>0</v>
      </c>
      <c r="H57">
        <v>0</v>
      </c>
      <c r="I57">
        <v>159</v>
      </c>
      <c r="J57">
        <v>115</v>
      </c>
      <c r="K57">
        <v>5</v>
      </c>
      <c r="L57">
        <v>0</v>
      </c>
      <c r="M57" s="1" t="s">
        <v>25</v>
      </c>
      <c r="N57">
        <v>0</v>
      </c>
      <c r="O57">
        <v>0</v>
      </c>
      <c r="P57">
        <v>0</v>
      </c>
      <c r="Q57" s="1" t="s">
        <v>26</v>
      </c>
    </row>
    <row r="58" spans="1:17" x14ac:dyDescent="0.3">
      <c r="A58">
        <v>1057</v>
      </c>
      <c r="B58">
        <v>37</v>
      </c>
      <c r="C58" s="1" t="s">
        <v>12</v>
      </c>
      <c r="D58" s="1" t="s">
        <v>17</v>
      </c>
      <c r="E58" s="5">
        <v>44983</v>
      </c>
      <c r="F58">
        <v>3</v>
      </c>
      <c r="G58">
        <v>4</v>
      </c>
      <c r="H58">
        <v>1</v>
      </c>
      <c r="I58">
        <v>243</v>
      </c>
      <c r="J58">
        <v>161</v>
      </c>
      <c r="K58">
        <v>3</v>
      </c>
      <c r="L58">
        <v>1</v>
      </c>
      <c r="M58" s="1" t="s">
        <v>27</v>
      </c>
      <c r="N58">
        <v>5</v>
      </c>
      <c r="O58">
        <v>1</v>
      </c>
      <c r="P58">
        <v>1</v>
      </c>
      <c r="Q58" s="1" t="s">
        <v>31</v>
      </c>
    </row>
    <row r="59" spans="1:17" x14ac:dyDescent="0.3">
      <c r="A59">
        <v>1058</v>
      </c>
      <c r="B59">
        <v>63</v>
      </c>
      <c r="C59" s="1" t="s">
        <v>14</v>
      </c>
      <c r="D59" s="1" t="s">
        <v>18</v>
      </c>
      <c r="E59" s="5">
        <v>44984</v>
      </c>
      <c r="F59">
        <v>13</v>
      </c>
      <c r="G59">
        <v>2</v>
      </c>
      <c r="H59">
        <v>0</v>
      </c>
      <c r="I59">
        <v>191</v>
      </c>
      <c r="J59">
        <v>137</v>
      </c>
      <c r="K59">
        <v>2</v>
      </c>
      <c r="L59">
        <v>0</v>
      </c>
      <c r="M59" s="1" t="s">
        <v>25</v>
      </c>
      <c r="N59">
        <v>2</v>
      </c>
      <c r="O59">
        <v>0</v>
      </c>
      <c r="P59">
        <v>1</v>
      </c>
      <c r="Q59" s="1" t="s">
        <v>26</v>
      </c>
    </row>
    <row r="60" spans="1:17" x14ac:dyDescent="0.3">
      <c r="A60">
        <v>1059</v>
      </c>
      <c r="B60">
        <v>53</v>
      </c>
      <c r="C60" s="1" t="s">
        <v>14</v>
      </c>
      <c r="D60" s="1" t="s">
        <v>18</v>
      </c>
      <c r="E60" s="5">
        <v>44985</v>
      </c>
      <c r="F60">
        <v>12</v>
      </c>
      <c r="G60">
        <v>1</v>
      </c>
      <c r="H60">
        <v>0</v>
      </c>
      <c r="I60">
        <v>212</v>
      </c>
      <c r="J60">
        <v>155</v>
      </c>
      <c r="K60">
        <v>10</v>
      </c>
      <c r="L60">
        <v>0</v>
      </c>
      <c r="M60" s="1" t="s">
        <v>32</v>
      </c>
      <c r="N60">
        <v>1</v>
      </c>
      <c r="O60">
        <v>1</v>
      </c>
      <c r="P60">
        <v>1</v>
      </c>
      <c r="Q60" s="1" t="s">
        <v>26</v>
      </c>
    </row>
    <row r="61" spans="1:17" x14ac:dyDescent="0.3">
      <c r="A61">
        <v>1060</v>
      </c>
      <c r="B61">
        <v>81</v>
      </c>
      <c r="C61" s="1" t="s">
        <v>14</v>
      </c>
      <c r="D61" s="1" t="s">
        <v>18</v>
      </c>
      <c r="E61" s="5">
        <v>44986</v>
      </c>
      <c r="F61">
        <v>5</v>
      </c>
      <c r="G61">
        <v>1</v>
      </c>
      <c r="H61">
        <v>1</v>
      </c>
      <c r="I61">
        <v>175</v>
      </c>
      <c r="J61">
        <v>159</v>
      </c>
      <c r="K61">
        <v>9</v>
      </c>
      <c r="L61">
        <v>0</v>
      </c>
      <c r="M61" s="1" t="s">
        <v>25</v>
      </c>
      <c r="N61">
        <v>2</v>
      </c>
      <c r="O61">
        <v>1</v>
      </c>
      <c r="P61">
        <v>0</v>
      </c>
      <c r="Q61" s="1" t="s">
        <v>29</v>
      </c>
    </row>
    <row r="62" spans="1:17" x14ac:dyDescent="0.3">
      <c r="A62">
        <v>1061</v>
      </c>
      <c r="B62">
        <v>33</v>
      </c>
      <c r="C62" s="1" t="s">
        <v>12</v>
      </c>
      <c r="D62" s="1" t="s">
        <v>15</v>
      </c>
      <c r="E62" s="5">
        <v>44987</v>
      </c>
      <c r="F62">
        <v>6</v>
      </c>
      <c r="G62">
        <v>2</v>
      </c>
      <c r="H62">
        <v>2</v>
      </c>
      <c r="I62">
        <v>188</v>
      </c>
      <c r="J62">
        <v>117</v>
      </c>
      <c r="K62">
        <v>2</v>
      </c>
      <c r="L62">
        <v>1</v>
      </c>
      <c r="M62" s="1" t="s">
        <v>27</v>
      </c>
      <c r="N62">
        <v>4</v>
      </c>
      <c r="O62">
        <v>0</v>
      </c>
      <c r="P62">
        <v>1</v>
      </c>
      <c r="Q62" s="1" t="s">
        <v>29</v>
      </c>
    </row>
    <row r="63" spans="1:17" x14ac:dyDescent="0.3">
      <c r="A63">
        <v>1062</v>
      </c>
      <c r="B63">
        <v>67</v>
      </c>
      <c r="C63" s="1" t="s">
        <v>14</v>
      </c>
      <c r="D63" s="1" t="s">
        <v>13</v>
      </c>
      <c r="E63" s="5">
        <v>44988</v>
      </c>
      <c r="F63">
        <v>10</v>
      </c>
      <c r="G63">
        <v>1</v>
      </c>
      <c r="H63">
        <v>5</v>
      </c>
      <c r="I63">
        <v>241</v>
      </c>
      <c r="J63">
        <v>115</v>
      </c>
      <c r="K63">
        <v>11</v>
      </c>
      <c r="L63">
        <v>1</v>
      </c>
      <c r="M63" s="1" t="s">
        <v>25</v>
      </c>
      <c r="N63">
        <v>6</v>
      </c>
      <c r="O63">
        <v>0</v>
      </c>
      <c r="P63">
        <v>1</v>
      </c>
      <c r="Q63" s="1" t="s">
        <v>26</v>
      </c>
    </row>
    <row r="64" spans="1:17" x14ac:dyDescent="0.3">
      <c r="A64">
        <v>1063</v>
      </c>
      <c r="B64">
        <v>34</v>
      </c>
      <c r="C64" s="1" t="s">
        <v>14</v>
      </c>
      <c r="D64" s="1" t="s">
        <v>17</v>
      </c>
      <c r="E64" s="5">
        <v>44989</v>
      </c>
      <c r="F64">
        <v>6</v>
      </c>
      <c r="G64">
        <v>3</v>
      </c>
      <c r="H64">
        <v>4</v>
      </c>
      <c r="I64">
        <v>118</v>
      </c>
      <c r="J64">
        <v>114</v>
      </c>
      <c r="K64">
        <v>2</v>
      </c>
      <c r="L64">
        <v>1</v>
      </c>
      <c r="M64" s="1" t="s">
        <v>27</v>
      </c>
      <c r="N64">
        <v>7</v>
      </c>
      <c r="O64">
        <v>0</v>
      </c>
      <c r="P64">
        <v>0</v>
      </c>
      <c r="Q64" s="1" t="s">
        <v>29</v>
      </c>
    </row>
    <row r="65" spans="1:17" x14ac:dyDescent="0.3">
      <c r="A65">
        <v>1064</v>
      </c>
      <c r="B65">
        <v>81</v>
      </c>
      <c r="C65" s="1" t="s">
        <v>14</v>
      </c>
      <c r="D65" s="1" t="s">
        <v>15</v>
      </c>
      <c r="E65" s="5">
        <v>44990</v>
      </c>
      <c r="F65">
        <v>4</v>
      </c>
      <c r="G65">
        <v>0</v>
      </c>
      <c r="H65">
        <v>4</v>
      </c>
      <c r="I65">
        <v>173</v>
      </c>
      <c r="J65">
        <v>101</v>
      </c>
      <c r="K65">
        <v>8</v>
      </c>
      <c r="L65">
        <v>0</v>
      </c>
      <c r="M65" s="1" t="s">
        <v>25</v>
      </c>
      <c r="N65">
        <v>4</v>
      </c>
      <c r="O65">
        <v>0</v>
      </c>
      <c r="P65">
        <v>0</v>
      </c>
      <c r="Q65" s="1" t="s">
        <v>29</v>
      </c>
    </row>
    <row r="66" spans="1:17" x14ac:dyDescent="0.3">
      <c r="A66">
        <v>1065</v>
      </c>
      <c r="B66">
        <v>59</v>
      </c>
      <c r="C66" s="1" t="s">
        <v>14</v>
      </c>
      <c r="D66" s="1" t="s">
        <v>15</v>
      </c>
      <c r="E66" s="5">
        <v>44991</v>
      </c>
      <c r="F66">
        <v>3</v>
      </c>
      <c r="G66">
        <v>3</v>
      </c>
      <c r="H66">
        <v>5</v>
      </c>
      <c r="I66">
        <v>130</v>
      </c>
      <c r="J66">
        <v>94</v>
      </c>
      <c r="K66">
        <v>9</v>
      </c>
      <c r="L66">
        <v>0</v>
      </c>
      <c r="M66" s="1" t="s">
        <v>32</v>
      </c>
      <c r="N66">
        <v>8</v>
      </c>
      <c r="O66">
        <v>0</v>
      </c>
      <c r="P66">
        <v>0</v>
      </c>
      <c r="Q66" s="1" t="s">
        <v>31</v>
      </c>
    </row>
    <row r="67" spans="1:17" x14ac:dyDescent="0.3">
      <c r="A67">
        <v>1066</v>
      </c>
      <c r="B67">
        <v>72</v>
      </c>
      <c r="C67" s="1" t="s">
        <v>12</v>
      </c>
      <c r="D67" s="1" t="s">
        <v>15</v>
      </c>
      <c r="E67" s="5">
        <v>44992</v>
      </c>
      <c r="F67">
        <v>4</v>
      </c>
      <c r="G67">
        <v>1</v>
      </c>
      <c r="H67">
        <v>0</v>
      </c>
      <c r="I67">
        <v>192</v>
      </c>
      <c r="J67">
        <v>137</v>
      </c>
      <c r="K67">
        <v>7</v>
      </c>
      <c r="L67">
        <v>0</v>
      </c>
      <c r="M67" s="1" t="s">
        <v>25</v>
      </c>
      <c r="N67">
        <v>1</v>
      </c>
      <c r="O67">
        <v>0</v>
      </c>
      <c r="P67">
        <v>1</v>
      </c>
      <c r="Q67" s="1" t="s">
        <v>29</v>
      </c>
    </row>
    <row r="68" spans="1:17" x14ac:dyDescent="0.3">
      <c r="A68">
        <v>1067</v>
      </c>
      <c r="B68">
        <v>43</v>
      </c>
      <c r="C68" s="1" t="s">
        <v>12</v>
      </c>
      <c r="D68" s="1" t="s">
        <v>15</v>
      </c>
      <c r="E68" s="5">
        <v>44993</v>
      </c>
      <c r="F68">
        <v>1</v>
      </c>
      <c r="G68">
        <v>4</v>
      </c>
      <c r="H68">
        <v>0</v>
      </c>
      <c r="I68">
        <v>203</v>
      </c>
      <c r="J68">
        <v>126</v>
      </c>
      <c r="K68">
        <v>3</v>
      </c>
      <c r="L68">
        <v>0</v>
      </c>
      <c r="M68" s="1" t="s">
        <v>27</v>
      </c>
      <c r="N68">
        <v>4</v>
      </c>
      <c r="O68">
        <v>0</v>
      </c>
      <c r="P68">
        <v>1</v>
      </c>
      <c r="Q68" s="1" t="s">
        <v>31</v>
      </c>
    </row>
    <row r="69" spans="1:17" x14ac:dyDescent="0.3">
      <c r="A69">
        <v>1068</v>
      </c>
      <c r="B69">
        <v>45</v>
      </c>
      <c r="C69" s="1" t="s">
        <v>14</v>
      </c>
      <c r="D69" s="1" t="s">
        <v>15</v>
      </c>
      <c r="E69" s="5">
        <v>44994</v>
      </c>
      <c r="F69">
        <v>4</v>
      </c>
      <c r="G69">
        <v>0</v>
      </c>
      <c r="H69">
        <v>2</v>
      </c>
      <c r="I69">
        <v>78</v>
      </c>
      <c r="J69">
        <v>168</v>
      </c>
      <c r="K69">
        <v>9</v>
      </c>
      <c r="L69">
        <v>0</v>
      </c>
      <c r="M69" s="1" t="s">
        <v>32</v>
      </c>
      <c r="N69">
        <v>2</v>
      </c>
      <c r="O69">
        <v>1</v>
      </c>
      <c r="P69">
        <v>0</v>
      </c>
      <c r="Q69" s="1" t="s">
        <v>29</v>
      </c>
    </row>
    <row r="70" spans="1:17" x14ac:dyDescent="0.3">
      <c r="A70">
        <v>1069</v>
      </c>
      <c r="B70">
        <v>79</v>
      </c>
      <c r="C70" s="1" t="s">
        <v>12</v>
      </c>
      <c r="D70" s="1" t="s">
        <v>16</v>
      </c>
      <c r="E70" s="5">
        <v>44995</v>
      </c>
      <c r="F70">
        <v>1</v>
      </c>
      <c r="G70">
        <v>0</v>
      </c>
      <c r="H70">
        <v>3</v>
      </c>
      <c r="I70">
        <v>75</v>
      </c>
      <c r="J70">
        <v>133</v>
      </c>
      <c r="K70">
        <v>3</v>
      </c>
      <c r="L70">
        <v>0</v>
      </c>
      <c r="M70" s="1" t="s">
        <v>25</v>
      </c>
      <c r="N70">
        <v>3</v>
      </c>
      <c r="O70">
        <v>0</v>
      </c>
      <c r="P70">
        <v>0</v>
      </c>
      <c r="Q70" s="1" t="s">
        <v>31</v>
      </c>
    </row>
    <row r="71" spans="1:17" x14ac:dyDescent="0.3">
      <c r="A71">
        <v>1070</v>
      </c>
      <c r="B71">
        <v>60</v>
      </c>
      <c r="C71" s="1" t="s">
        <v>12</v>
      </c>
      <c r="D71" s="1" t="s">
        <v>17</v>
      </c>
      <c r="E71" s="5">
        <v>44996</v>
      </c>
      <c r="F71">
        <v>12</v>
      </c>
      <c r="G71">
        <v>2</v>
      </c>
      <c r="H71">
        <v>1</v>
      </c>
      <c r="I71">
        <v>142</v>
      </c>
      <c r="J71">
        <v>104</v>
      </c>
      <c r="K71">
        <v>5</v>
      </c>
      <c r="L71">
        <v>1</v>
      </c>
      <c r="M71" s="1" t="s">
        <v>25</v>
      </c>
      <c r="N71">
        <v>3</v>
      </c>
      <c r="O71">
        <v>0</v>
      </c>
      <c r="P71">
        <v>0</v>
      </c>
      <c r="Q71" s="1" t="s">
        <v>26</v>
      </c>
    </row>
    <row r="72" spans="1:17" x14ac:dyDescent="0.3">
      <c r="A72">
        <v>1071</v>
      </c>
      <c r="B72">
        <v>48</v>
      </c>
      <c r="C72" s="1" t="s">
        <v>14</v>
      </c>
      <c r="D72" s="1" t="s">
        <v>15</v>
      </c>
      <c r="E72" s="5">
        <v>44997</v>
      </c>
      <c r="F72">
        <v>1</v>
      </c>
      <c r="G72">
        <v>2</v>
      </c>
      <c r="H72">
        <v>0</v>
      </c>
      <c r="I72">
        <v>172</v>
      </c>
      <c r="J72">
        <v>132</v>
      </c>
      <c r="K72">
        <v>9</v>
      </c>
      <c r="L72">
        <v>1</v>
      </c>
      <c r="M72" s="1" t="s">
        <v>32</v>
      </c>
      <c r="N72">
        <v>2</v>
      </c>
      <c r="O72">
        <v>0</v>
      </c>
      <c r="P72">
        <v>0</v>
      </c>
      <c r="Q72" s="1" t="s">
        <v>31</v>
      </c>
    </row>
    <row r="73" spans="1:17" x14ac:dyDescent="0.3">
      <c r="A73">
        <v>1072</v>
      </c>
      <c r="B73">
        <v>34</v>
      </c>
      <c r="C73" s="1" t="s">
        <v>14</v>
      </c>
      <c r="D73" s="1" t="s">
        <v>17</v>
      </c>
      <c r="E73" s="5">
        <v>44998</v>
      </c>
      <c r="F73">
        <v>10</v>
      </c>
      <c r="G73">
        <v>4</v>
      </c>
      <c r="H73">
        <v>4</v>
      </c>
      <c r="I73">
        <v>229</v>
      </c>
      <c r="J73">
        <v>137</v>
      </c>
      <c r="K73">
        <v>3</v>
      </c>
      <c r="L73">
        <v>1</v>
      </c>
      <c r="M73" s="1" t="s">
        <v>27</v>
      </c>
      <c r="N73">
        <v>8</v>
      </c>
      <c r="O73">
        <v>0</v>
      </c>
      <c r="P73">
        <v>1</v>
      </c>
      <c r="Q73" s="1" t="s">
        <v>26</v>
      </c>
    </row>
    <row r="74" spans="1:17" x14ac:dyDescent="0.3">
      <c r="A74">
        <v>1073</v>
      </c>
      <c r="B74">
        <v>64</v>
      </c>
      <c r="C74" s="1" t="s">
        <v>12</v>
      </c>
      <c r="D74" s="1" t="s">
        <v>16</v>
      </c>
      <c r="E74" s="5">
        <v>44999</v>
      </c>
      <c r="F74">
        <v>14</v>
      </c>
      <c r="G74">
        <v>0</v>
      </c>
      <c r="H74">
        <v>2</v>
      </c>
      <c r="I74">
        <v>110</v>
      </c>
      <c r="J74">
        <v>176</v>
      </c>
      <c r="K74">
        <v>7</v>
      </c>
      <c r="L74">
        <v>1</v>
      </c>
      <c r="M74" s="1" t="s">
        <v>25</v>
      </c>
      <c r="N74">
        <v>2</v>
      </c>
      <c r="O74">
        <v>1</v>
      </c>
      <c r="P74">
        <v>0</v>
      </c>
      <c r="Q74" s="1" t="s">
        <v>26</v>
      </c>
    </row>
    <row r="75" spans="1:17" x14ac:dyDescent="0.3">
      <c r="A75">
        <v>1074</v>
      </c>
      <c r="B75">
        <v>84</v>
      </c>
      <c r="C75" s="1" t="s">
        <v>14</v>
      </c>
      <c r="D75" s="1" t="s">
        <v>16</v>
      </c>
      <c r="E75" s="5">
        <v>45000</v>
      </c>
      <c r="F75">
        <v>6</v>
      </c>
      <c r="G75">
        <v>4</v>
      </c>
      <c r="H75">
        <v>1</v>
      </c>
      <c r="I75">
        <v>183</v>
      </c>
      <c r="J75">
        <v>159</v>
      </c>
      <c r="K75">
        <v>1</v>
      </c>
      <c r="L75">
        <v>0</v>
      </c>
      <c r="M75" s="1" t="s">
        <v>25</v>
      </c>
      <c r="N75">
        <v>5</v>
      </c>
      <c r="O75">
        <v>1</v>
      </c>
      <c r="P75">
        <v>1</v>
      </c>
      <c r="Q75" s="1" t="s">
        <v>29</v>
      </c>
    </row>
    <row r="76" spans="1:17" x14ac:dyDescent="0.3">
      <c r="A76">
        <v>1075</v>
      </c>
      <c r="B76">
        <v>28</v>
      </c>
      <c r="C76" s="1" t="s">
        <v>12</v>
      </c>
      <c r="D76" s="1" t="s">
        <v>17</v>
      </c>
      <c r="E76" s="5">
        <v>45001</v>
      </c>
      <c r="F76">
        <v>5</v>
      </c>
      <c r="G76">
        <v>2</v>
      </c>
      <c r="H76">
        <v>2</v>
      </c>
      <c r="I76">
        <v>77</v>
      </c>
      <c r="J76">
        <v>135</v>
      </c>
      <c r="K76">
        <v>4</v>
      </c>
      <c r="L76">
        <v>0</v>
      </c>
      <c r="M76" s="1" t="s">
        <v>30</v>
      </c>
      <c r="N76">
        <v>4</v>
      </c>
      <c r="O76">
        <v>0</v>
      </c>
      <c r="P76">
        <v>0</v>
      </c>
      <c r="Q76" s="1" t="s">
        <v>29</v>
      </c>
    </row>
    <row r="77" spans="1:17" x14ac:dyDescent="0.3">
      <c r="A77">
        <v>1076</v>
      </c>
      <c r="B77">
        <v>20</v>
      </c>
      <c r="C77" s="1" t="s">
        <v>14</v>
      </c>
      <c r="D77" s="1" t="s">
        <v>18</v>
      </c>
      <c r="E77" s="5">
        <v>45002</v>
      </c>
      <c r="F77">
        <v>14</v>
      </c>
      <c r="G77">
        <v>2</v>
      </c>
      <c r="H77">
        <v>1</v>
      </c>
      <c r="I77">
        <v>141</v>
      </c>
      <c r="J77">
        <v>132</v>
      </c>
      <c r="K77">
        <v>4</v>
      </c>
      <c r="L77">
        <v>1</v>
      </c>
      <c r="M77" s="1" t="s">
        <v>30</v>
      </c>
      <c r="N77">
        <v>3</v>
      </c>
      <c r="O77">
        <v>0</v>
      </c>
      <c r="P77">
        <v>0</v>
      </c>
      <c r="Q77" s="1" t="s">
        <v>26</v>
      </c>
    </row>
    <row r="78" spans="1:17" x14ac:dyDescent="0.3">
      <c r="A78">
        <v>1077</v>
      </c>
      <c r="B78">
        <v>27</v>
      </c>
      <c r="C78" s="1" t="s">
        <v>12</v>
      </c>
      <c r="D78" s="1" t="s">
        <v>13</v>
      </c>
      <c r="E78" s="5">
        <v>45003</v>
      </c>
      <c r="F78">
        <v>11</v>
      </c>
      <c r="G78">
        <v>0</v>
      </c>
      <c r="H78">
        <v>1</v>
      </c>
      <c r="I78">
        <v>247</v>
      </c>
      <c r="J78">
        <v>110</v>
      </c>
      <c r="K78">
        <v>7</v>
      </c>
      <c r="L78">
        <v>0</v>
      </c>
      <c r="M78" s="1" t="s">
        <v>30</v>
      </c>
      <c r="N78">
        <v>1</v>
      </c>
      <c r="O78">
        <v>0</v>
      </c>
      <c r="P78">
        <v>1</v>
      </c>
      <c r="Q78" s="1" t="s">
        <v>26</v>
      </c>
    </row>
    <row r="79" spans="1:17" x14ac:dyDescent="0.3">
      <c r="A79">
        <v>1078</v>
      </c>
      <c r="B79">
        <v>82</v>
      </c>
      <c r="C79" s="1" t="s">
        <v>14</v>
      </c>
      <c r="D79" s="1" t="s">
        <v>18</v>
      </c>
      <c r="E79" s="5">
        <v>45004</v>
      </c>
      <c r="F79">
        <v>4</v>
      </c>
      <c r="G79">
        <v>3</v>
      </c>
      <c r="H79">
        <v>5</v>
      </c>
      <c r="I79">
        <v>161</v>
      </c>
      <c r="J79">
        <v>112</v>
      </c>
      <c r="K79">
        <v>8</v>
      </c>
      <c r="L79">
        <v>1</v>
      </c>
      <c r="M79" s="1" t="s">
        <v>25</v>
      </c>
      <c r="N79">
        <v>8</v>
      </c>
      <c r="O79">
        <v>0</v>
      </c>
      <c r="P79">
        <v>0</v>
      </c>
      <c r="Q79" s="1" t="s">
        <v>29</v>
      </c>
    </row>
    <row r="80" spans="1:17" x14ac:dyDescent="0.3">
      <c r="A80">
        <v>1079</v>
      </c>
      <c r="B80">
        <v>30</v>
      </c>
      <c r="C80" s="1" t="s">
        <v>12</v>
      </c>
      <c r="D80" s="1" t="s">
        <v>18</v>
      </c>
      <c r="E80" s="5">
        <v>45005</v>
      </c>
      <c r="F80">
        <v>13</v>
      </c>
      <c r="G80">
        <v>1</v>
      </c>
      <c r="H80">
        <v>0</v>
      </c>
      <c r="I80">
        <v>131</v>
      </c>
      <c r="J80">
        <v>169</v>
      </c>
      <c r="K80">
        <v>1</v>
      </c>
      <c r="L80">
        <v>0</v>
      </c>
      <c r="M80" s="1" t="s">
        <v>27</v>
      </c>
      <c r="N80">
        <v>1</v>
      </c>
      <c r="O80">
        <v>1</v>
      </c>
      <c r="P80">
        <v>0</v>
      </c>
      <c r="Q80" s="1" t="s">
        <v>26</v>
      </c>
    </row>
    <row r="81" spans="1:17" x14ac:dyDescent="0.3">
      <c r="A81">
        <v>1080</v>
      </c>
      <c r="B81">
        <v>27</v>
      </c>
      <c r="C81" s="1" t="s">
        <v>12</v>
      </c>
      <c r="D81" s="1" t="s">
        <v>18</v>
      </c>
      <c r="E81" s="5">
        <v>45006</v>
      </c>
      <c r="F81">
        <v>11</v>
      </c>
      <c r="G81">
        <v>2</v>
      </c>
      <c r="H81">
        <v>2</v>
      </c>
      <c r="I81">
        <v>153</v>
      </c>
      <c r="J81">
        <v>136</v>
      </c>
      <c r="K81">
        <v>5</v>
      </c>
      <c r="L81">
        <v>0</v>
      </c>
      <c r="M81" s="1" t="s">
        <v>30</v>
      </c>
      <c r="N81">
        <v>4</v>
      </c>
      <c r="O81">
        <v>0</v>
      </c>
      <c r="P81">
        <v>0</v>
      </c>
      <c r="Q81" s="1" t="s">
        <v>26</v>
      </c>
    </row>
    <row r="82" spans="1:17" x14ac:dyDescent="0.3">
      <c r="A82">
        <v>1081</v>
      </c>
      <c r="B82">
        <v>54</v>
      </c>
      <c r="C82" s="1" t="s">
        <v>12</v>
      </c>
      <c r="D82" s="1" t="s">
        <v>15</v>
      </c>
      <c r="E82" s="5">
        <v>45007</v>
      </c>
      <c r="F82">
        <v>3</v>
      </c>
      <c r="G82">
        <v>2</v>
      </c>
      <c r="H82">
        <v>2</v>
      </c>
      <c r="I82">
        <v>131</v>
      </c>
      <c r="J82">
        <v>104</v>
      </c>
      <c r="K82">
        <v>7</v>
      </c>
      <c r="L82">
        <v>0</v>
      </c>
      <c r="M82" s="1" t="s">
        <v>32</v>
      </c>
      <c r="N82">
        <v>4</v>
      </c>
      <c r="O82">
        <v>0</v>
      </c>
      <c r="P82">
        <v>0</v>
      </c>
      <c r="Q82" s="1" t="s">
        <v>31</v>
      </c>
    </row>
    <row r="83" spans="1:17" x14ac:dyDescent="0.3">
      <c r="A83">
        <v>1082</v>
      </c>
      <c r="B83">
        <v>54</v>
      </c>
      <c r="C83" s="1" t="s">
        <v>14</v>
      </c>
      <c r="D83" s="1" t="s">
        <v>16</v>
      </c>
      <c r="E83" s="5">
        <v>45008</v>
      </c>
      <c r="F83">
        <v>1</v>
      </c>
      <c r="G83">
        <v>3</v>
      </c>
      <c r="H83">
        <v>5</v>
      </c>
      <c r="I83">
        <v>180</v>
      </c>
      <c r="J83">
        <v>114</v>
      </c>
      <c r="K83">
        <v>4</v>
      </c>
      <c r="L83">
        <v>1</v>
      </c>
      <c r="M83" s="1" t="s">
        <v>32</v>
      </c>
      <c r="N83">
        <v>8</v>
      </c>
      <c r="O83">
        <v>0</v>
      </c>
      <c r="P83">
        <v>1</v>
      </c>
      <c r="Q83" s="1" t="s">
        <v>31</v>
      </c>
    </row>
    <row r="84" spans="1:17" x14ac:dyDescent="0.3">
      <c r="A84">
        <v>1083</v>
      </c>
      <c r="B84">
        <v>52</v>
      </c>
      <c r="C84" s="1" t="s">
        <v>12</v>
      </c>
      <c r="D84" s="1" t="s">
        <v>18</v>
      </c>
      <c r="E84" s="5">
        <v>45009</v>
      </c>
      <c r="F84">
        <v>6</v>
      </c>
      <c r="G84">
        <v>3</v>
      </c>
      <c r="H84">
        <v>4</v>
      </c>
      <c r="I84">
        <v>196</v>
      </c>
      <c r="J84">
        <v>125</v>
      </c>
      <c r="K84">
        <v>4</v>
      </c>
      <c r="L84">
        <v>1</v>
      </c>
      <c r="M84" s="1" t="s">
        <v>32</v>
      </c>
      <c r="N84">
        <v>7</v>
      </c>
      <c r="O84">
        <v>0</v>
      </c>
      <c r="P84">
        <v>1</v>
      </c>
      <c r="Q84" s="1" t="s">
        <v>29</v>
      </c>
    </row>
    <row r="85" spans="1:17" x14ac:dyDescent="0.3">
      <c r="A85">
        <v>1084</v>
      </c>
      <c r="B85">
        <v>24</v>
      </c>
      <c r="C85" s="1" t="s">
        <v>12</v>
      </c>
      <c r="D85" s="1" t="s">
        <v>16</v>
      </c>
      <c r="E85" s="5">
        <v>45010</v>
      </c>
      <c r="F85">
        <v>2</v>
      </c>
      <c r="G85">
        <v>4</v>
      </c>
      <c r="H85">
        <v>4</v>
      </c>
      <c r="I85">
        <v>76</v>
      </c>
      <c r="J85">
        <v>164</v>
      </c>
      <c r="K85">
        <v>4</v>
      </c>
      <c r="L85">
        <v>0</v>
      </c>
      <c r="M85" s="1" t="s">
        <v>30</v>
      </c>
      <c r="N85">
        <v>8</v>
      </c>
      <c r="O85">
        <v>1</v>
      </c>
      <c r="P85">
        <v>0</v>
      </c>
      <c r="Q85" s="1" t="s">
        <v>31</v>
      </c>
    </row>
    <row r="86" spans="1:17" x14ac:dyDescent="0.3">
      <c r="A86">
        <v>1085</v>
      </c>
      <c r="B86">
        <v>60</v>
      </c>
      <c r="C86" s="1" t="s">
        <v>14</v>
      </c>
      <c r="D86" s="1" t="s">
        <v>17</v>
      </c>
      <c r="E86" s="5">
        <v>45011</v>
      </c>
      <c r="F86">
        <v>8</v>
      </c>
      <c r="G86">
        <v>4</v>
      </c>
      <c r="H86">
        <v>0</v>
      </c>
      <c r="I86">
        <v>153</v>
      </c>
      <c r="J86">
        <v>140</v>
      </c>
      <c r="K86">
        <v>6</v>
      </c>
      <c r="L86">
        <v>1</v>
      </c>
      <c r="M86" s="1" t="s">
        <v>25</v>
      </c>
      <c r="N86">
        <v>4</v>
      </c>
      <c r="O86">
        <v>1</v>
      </c>
      <c r="P86">
        <v>0</v>
      </c>
      <c r="Q86" s="1" t="s">
        <v>26</v>
      </c>
    </row>
    <row r="87" spans="1:17" x14ac:dyDescent="0.3">
      <c r="A87">
        <v>1086</v>
      </c>
      <c r="B87">
        <v>47</v>
      </c>
      <c r="C87" s="1" t="s">
        <v>14</v>
      </c>
      <c r="D87" s="1" t="s">
        <v>13</v>
      </c>
      <c r="E87" s="5">
        <v>45012</v>
      </c>
      <c r="F87">
        <v>10</v>
      </c>
      <c r="G87">
        <v>1</v>
      </c>
      <c r="H87">
        <v>0</v>
      </c>
      <c r="I87">
        <v>201</v>
      </c>
      <c r="J87">
        <v>104</v>
      </c>
      <c r="K87">
        <v>7</v>
      </c>
      <c r="L87">
        <v>0</v>
      </c>
      <c r="M87" s="1" t="s">
        <v>32</v>
      </c>
      <c r="N87">
        <v>1</v>
      </c>
      <c r="O87">
        <v>0</v>
      </c>
      <c r="P87">
        <v>1</v>
      </c>
      <c r="Q87" s="1" t="s">
        <v>26</v>
      </c>
    </row>
    <row r="88" spans="1:17" x14ac:dyDescent="0.3">
      <c r="A88">
        <v>1087</v>
      </c>
      <c r="B88">
        <v>26</v>
      </c>
      <c r="C88" s="1" t="s">
        <v>12</v>
      </c>
      <c r="D88" s="1" t="s">
        <v>17</v>
      </c>
      <c r="E88" s="5">
        <v>45013</v>
      </c>
      <c r="F88">
        <v>5</v>
      </c>
      <c r="G88">
        <v>1</v>
      </c>
      <c r="H88">
        <v>3</v>
      </c>
      <c r="I88">
        <v>203</v>
      </c>
      <c r="J88">
        <v>157</v>
      </c>
      <c r="K88">
        <v>2</v>
      </c>
      <c r="L88">
        <v>0</v>
      </c>
      <c r="M88" s="1" t="s">
        <v>30</v>
      </c>
      <c r="N88">
        <v>4</v>
      </c>
      <c r="O88">
        <v>1</v>
      </c>
      <c r="P88">
        <v>1</v>
      </c>
      <c r="Q88" s="1" t="s">
        <v>29</v>
      </c>
    </row>
    <row r="89" spans="1:17" x14ac:dyDescent="0.3">
      <c r="A89">
        <v>1088</v>
      </c>
      <c r="B89">
        <v>31</v>
      </c>
      <c r="C89" s="1" t="s">
        <v>12</v>
      </c>
      <c r="D89" s="1" t="s">
        <v>17</v>
      </c>
      <c r="E89" s="5">
        <v>45014</v>
      </c>
      <c r="F89">
        <v>7</v>
      </c>
      <c r="G89">
        <v>0</v>
      </c>
      <c r="H89">
        <v>5</v>
      </c>
      <c r="I89">
        <v>127</v>
      </c>
      <c r="J89">
        <v>110</v>
      </c>
      <c r="K89">
        <v>5</v>
      </c>
      <c r="L89">
        <v>0</v>
      </c>
      <c r="M89" s="1" t="s">
        <v>27</v>
      </c>
      <c r="N89">
        <v>5</v>
      </c>
      <c r="O89">
        <v>0</v>
      </c>
      <c r="P89">
        <v>0</v>
      </c>
      <c r="Q89" s="1" t="s">
        <v>29</v>
      </c>
    </row>
    <row r="90" spans="1:17" x14ac:dyDescent="0.3">
      <c r="A90">
        <v>1089</v>
      </c>
      <c r="B90">
        <v>53</v>
      </c>
      <c r="C90" s="1" t="s">
        <v>14</v>
      </c>
      <c r="D90" s="1" t="s">
        <v>15</v>
      </c>
      <c r="E90" s="5">
        <v>45015</v>
      </c>
      <c r="F90">
        <v>10</v>
      </c>
      <c r="G90">
        <v>4</v>
      </c>
      <c r="H90">
        <v>4</v>
      </c>
      <c r="I90">
        <v>91</v>
      </c>
      <c r="J90">
        <v>102</v>
      </c>
      <c r="K90">
        <v>4</v>
      </c>
      <c r="L90">
        <v>0</v>
      </c>
      <c r="M90" s="1" t="s">
        <v>32</v>
      </c>
      <c r="N90">
        <v>8</v>
      </c>
      <c r="O90">
        <v>0</v>
      </c>
      <c r="P90">
        <v>0</v>
      </c>
      <c r="Q90" s="1" t="s">
        <v>26</v>
      </c>
    </row>
    <row r="91" spans="1:17" x14ac:dyDescent="0.3">
      <c r="A91">
        <v>1090</v>
      </c>
      <c r="B91">
        <v>52</v>
      </c>
      <c r="C91" s="1" t="s">
        <v>14</v>
      </c>
      <c r="D91" s="1" t="s">
        <v>13</v>
      </c>
      <c r="E91" s="5">
        <v>45016</v>
      </c>
      <c r="F91">
        <v>12</v>
      </c>
      <c r="G91">
        <v>2</v>
      </c>
      <c r="H91">
        <v>1</v>
      </c>
      <c r="I91">
        <v>223</v>
      </c>
      <c r="J91">
        <v>175</v>
      </c>
      <c r="K91">
        <v>3</v>
      </c>
      <c r="L91">
        <v>0</v>
      </c>
      <c r="M91" s="1" t="s">
        <v>32</v>
      </c>
      <c r="N91">
        <v>3</v>
      </c>
      <c r="O91">
        <v>1</v>
      </c>
      <c r="P91">
        <v>1</v>
      </c>
      <c r="Q91" s="1" t="s">
        <v>26</v>
      </c>
    </row>
    <row r="92" spans="1:17" x14ac:dyDescent="0.3">
      <c r="A92">
        <v>1091</v>
      </c>
      <c r="B92">
        <v>67</v>
      </c>
      <c r="C92" s="1" t="s">
        <v>14</v>
      </c>
      <c r="D92" s="1" t="s">
        <v>17</v>
      </c>
      <c r="E92" s="5">
        <v>45017</v>
      </c>
      <c r="F92">
        <v>2</v>
      </c>
      <c r="G92">
        <v>4</v>
      </c>
      <c r="H92">
        <v>2</v>
      </c>
      <c r="I92">
        <v>196</v>
      </c>
      <c r="J92">
        <v>108</v>
      </c>
      <c r="K92">
        <v>7</v>
      </c>
      <c r="L92">
        <v>1</v>
      </c>
      <c r="M92" s="1" t="s">
        <v>25</v>
      </c>
      <c r="N92">
        <v>6</v>
      </c>
      <c r="O92">
        <v>0</v>
      </c>
      <c r="P92">
        <v>1</v>
      </c>
      <c r="Q92" s="1" t="s">
        <v>31</v>
      </c>
    </row>
    <row r="93" spans="1:17" x14ac:dyDescent="0.3">
      <c r="A93">
        <v>1092</v>
      </c>
      <c r="B93">
        <v>42</v>
      </c>
      <c r="C93" s="1" t="s">
        <v>14</v>
      </c>
      <c r="D93" s="1" t="s">
        <v>17</v>
      </c>
      <c r="E93" s="5">
        <v>45018</v>
      </c>
      <c r="F93">
        <v>13</v>
      </c>
      <c r="G93">
        <v>2</v>
      </c>
      <c r="H93">
        <v>0</v>
      </c>
      <c r="I93">
        <v>72</v>
      </c>
      <c r="J93">
        <v>123</v>
      </c>
      <c r="K93">
        <v>11</v>
      </c>
      <c r="L93">
        <v>1</v>
      </c>
      <c r="M93" s="1" t="s">
        <v>27</v>
      </c>
      <c r="N93">
        <v>2</v>
      </c>
      <c r="O93">
        <v>0</v>
      </c>
      <c r="P93">
        <v>0</v>
      </c>
      <c r="Q93" s="1" t="s">
        <v>26</v>
      </c>
    </row>
    <row r="94" spans="1:17" x14ac:dyDescent="0.3">
      <c r="A94">
        <v>1093</v>
      </c>
      <c r="B94">
        <v>81</v>
      </c>
      <c r="C94" s="1" t="s">
        <v>14</v>
      </c>
      <c r="D94" s="1" t="s">
        <v>13</v>
      </c>
      <c r="E94" s="5">
        <v>45019</v>
      </c>
      <c r="F94">
        <v>8</v>
      </c>
      <c r="G94">
        <v>3</v>
      </c>
      <c r="H94">
        <v>2</v>
      </c>
      <c r="I94">
        <v>196</v>
      </c>
      <c r="J94">
        <v>167</v>
      </c>
      <c r="K94">
        <v>6</v>
      </c>
      <c r="L94">
        <v>0</v>
      </c>
      <c r="M94" s="1" t="s">
        <v>25</v>
      </c>
      <c r="N94">
        <v>5</v>
      </c>
      <c r="O94">
        <v>1</v>
      </c>
      <c r="P94">
        <v>1</v>
      </c>
      <c r="Q94" s="1" t="s">
        <v>26</v>
      </c>
    </row>
    <row r="95" spans="1:17" x14ac:dyDescent="0.3">
      <c r="A95">
        <v>1094</v>
      </c>
      <c r="B95">
        <v>56</v>
      </c>
      <c r="C95" s="1" t="s">
        <v>12</v>
      </c>
      <c r="D95" s="1" t="s">
        <v>13</v>
      </c>
      <c r="E95" s="5">
        <v>45020</v>
      </c>
      <c r="F95">
        <v>2</v>
      </c>
      <c r="G95">
        <v>4</v>
      </c>
      <c r="H95">
        <v>2</v>
      </c>
      <c r="I95">
        <v>110</v>
      </c>
      <c r="J95">
        <v>157</v>
      </c>
      <c r="K95">
        <v>7</v>
      </c>
      <c r="L95">
        <v>0</v>
      </c>
      <c r="M95" s="1" t="s">
        <v>32</v>
      </c>
      <c r="N95">
        <v>6</v>
      </c>
      <c r="O95">
        <v>1</v>
      </c>
      <c r="P95">
        <v>0</v>
      </c>
      <c r="Q95" s="1" t="s">
        <v>31</v>
      </c>
    </row>
    <row r="96" spans="1:17" x14ac:dyDescent="0.3">
      <c r="A96">
        <v>1095</v>
      </c>
      <c r="B96">
        <v>63</v>
      </c>
      <c r="C96" s="1" t="s">
        <v>14</v>
      </c>
      <c r="D96" s="1" t="s">
        <v>17</v>
      </c>
      <c r="E96" s="5">
        <v>45021</v>
      </c>
      <c r="F96">
        <v>4</v>
      </c>
      <c r="G96">
        <v>3</v>
      </c>
      <c r="H96">
        <v>3</v>
      </c>
      <c r="I96">
        <v>175</v>
      </c>
      <c r="J96">
        <v>141</v>
      </c>
      <c r="K96">
        <v>5</v>
      </c>
      <c r="L96">
        <v>1</v>
      </c>
      <c r="M96" s="1" t="s">
        <v>25</v>
      </c>
      <c r="N96">
        <v>6</v>
      </c>
      <c r="O96">
        <v>1</v>
      </c>
      <c r="P96">
        <v>0</v>
      </c>
      <c r="Q96" s="1" t="s">
        <v>29</v>
      </c>
    </row>
    <row r="97" spans="1:17" x14ac:dyDescent="0.3">
      <c r="A97">
        <v>1096</v>
      </c>
      <c r="B97">
        <v>54</v>
      </c>
      <c r="C97" s="1" t="s">
        <v>12</v>
      </c>
      <c r="D97" s="1" t="s">
        <v>13</v>
      </c>
      <c r="E97" s="5">
        <v>45022</v>
      </c>
      <c r="F97">
        <v>1</v>
      </c>
      <c r="G97">
        <v>1</v>
      </c>
      <c r="H97">
        <v>4</v>
      </c>
      <c r="I97">
        <v>83</v>
      </c>
      <c r="J97">
        <v>116</v>
      </c>
      <c r="K97">
        <v>6</v>
      </c>
      <c r="L97">
        <v>1</v>
      </c>
      <c r="M97" s="1" t="s">
        <v>32</v>
      </c>
      <c r="N97">
        <v>5</v>
      </c>
      <c r="O97">
        <v>0</v>
      </c>
      <c r="P97">
        <v>0</v>
      </c>
      <c r="Q97" s="1" t="s">
        <v>31</v>
      </c>
    </row>
    <row r="98" spans="1:17" x14ac:dyDescent="0.3">
      <c r="A98">
        <v>1097</v>
      </c>
      <c r="B98">
        <v>84</v>
      </c>
      <c r="C98" s="1" t="s">
        <v>12</v>
      </c>
      <c r="D98" s="1" t="s">
        <v>17</v>
      </c>
      <c r="E98" s="5">
        <v>45023</v>
      </c>
      <c r="F98">
        <v>5</v>
      </c>
      <c r="G98">
        <v>1</v>
      </c>
      <c r="H98">
        <v>0</v>
      </c>
      <c r="I98">
        <v>81</v>
      </c>
      <c r="J98">
        <v>118</v>
      </c>
      <c r="K98">
        <v>5</v>
      </c>
      <c r="L98">
        <v>1</v>
      </c>
      <c r="M98" s="1" t="s">
        <v>25</v>
      </c>
      <c r="N98">
        <v>1</v>
      </c>
      <c r="O98">
        <v>0</v>
      </c>
      <c r="P98">
        <v>0</v>
      </c>
      <c r="Q98" s="1" t="s">
        <v>29</v>
      </c>
    </row>
    <row r="99" spans="1:17" x14ac:dyDescent="0.3">
      <c r="A99">
        <v>1098</v>
      </c>
      <c r="B99">
        <v>66</v>
      </c>
      <c r="C99" s="1" t="s">
        <v>12</v>
      </c>
      <c r="D99" s="1" t="s">
        <v>17</v>
      </c>
      <c r="E99" s="5">
        <v>45024</v>
      </c>
      <c r="F99">
        <v>9</v>
      </c>
      <c r="G99">
        <v>0</v>
      </c>
      <c r="H99">
        <v>2</v>
      </c>
      <c r="I99">
        <v>156</v>
      </c>
      <c r="J99">
        <v>117</v>
      </c>
      <c r="K99">
        <v>7</v>
      </c>
      <c r="L99">
        <v>0</v>
      </c>
      <c r="M99" s="1" t="s">
        <v>25</v>
      </c>
      <c r="N99">
        <v>2</v>
      </c>
      <c r="O99">
        <v>0</v>
      </c>
      <c r="P99">
        <v>0</v>
      </c>
      <c r="Q99" s="1" t="s">
        <v>26</v>
      </c>
    </row>
    <row r="100" spans="1:17" x14ac:dyDescent="0.3">
      <c r="A100">
        <v>1099</v>
      </c>
      <c r="B100">
        <v>22</v>
      </c>
      <c r="C100" s="1" t="s">
        <v>14</v>
      </c>
      <c r="D100" s="1" t="s">
        <v>15</v>
      </c>
      <c r="E100" s="5">
        <v>45025</v>
      </c>
      <c r="F100">
        <v>1</v>
      </c>
      <c r="G100">
        <v>4</v>
      </c>
      <c r="H100">
        <v>0</v>
      </c>
      <c r="I100">
        <v>81</v>
      </c>
      <c r="J100">
        <v>124</v>
      </c>
      <c r="K100">
        <v>2</v>
      </c>
      <c r="L100">
        <v>0</v>
      </c>
      <c r="M100" s="1" t="s">
        <v>30</v>
      </c>
      <c r="N100">
        <v>4</v>
      </c>
      <c r="O100">
        <v>0</v>
      </c>
      <c r="P100">
        <v>0</v>
      </c>
      <c r="Q100" s="1" t="s">
        <v>31</v>
      </c>
    </row>
    <row r="101" spans="1:17" x14ac:dyDescent="0.3">
      <c r="A101">
        <v>1100</v>
      </c>
      <c r="B101">
        <v>20</v>
      </c>
      <c r="C101" s="1" t="s">
        <v>12</v>
      </c>
      <c r="D101" s="1" t="s">
        <v>18</v>
      </c>
      <c r="E101" s="5">
        <v>45026</v>
      </c>
      <c r="F101">
        <v>9</v>
      </c>
      <c r="G101">
        <v>3</v>
      </c>
      <c r="H101">
        <v>1</v>
      </c>
      <c r="I101">
        <v>210</v>
      </c>
      <c r="J101">
        <v>97</v>
      </c>
      <c r="K101">
        <v>11</v>
      </c>
      <c r="L101">
        <v>0</v>
      </c>
      <c r="M101" s="1" t="s">
        <v>30</v>
      </c>
      <c r="N101">
        <v>4</v>
      </c>
      <c r="O101">
        <v>0</v>
      </c>
      <c r="P101">
        <v>1</v>
      </c>
      <c r="Q101" s="1" t="s">
        <v>26</v>
      </c>
    </row>
    <row r="102" spans="1:17" x14ac:dyDescent="0.3">
      <c r="A102">
        <v>1101</v>
      </c>
      <c r="B102">
        <v>24</v>
      </c>
      <c r="C102" s="1" t="s">
        <v>12</v>
      </c>
      <c r="D102" s="1" t="s">
        <v>17</v>
      </c>
      <c r="E102" s="5">
        <v>45027</v>
      </c>
      <c r="F102">
        <v>11</v>
      </c>
      <c r="G102">
        <v>2</v>
      </c>
      <c r="H102">
        <v>3</v>
      </c>
      <c r="I102">
        <v>94</v>
      </c>
      <c r="J102">
        <v>105</v>
      </c>
      <c r="K102">
        <v>5</v>
      </c>
      <c r="L102">
        <v>0</v>
      </c>
      <c r="M102" s="1" t="s">
        <v>30</v>
      </c>
      <c r="N102">
        <v>5</v>
      </c>
      <c r="O102">
        <v>0</v>
      </c>
      <c r="P102">
        <v>0</v>
      </c>
      <c r="Q102" s="1" t="s">
        <v>26</v>
      </c>
    </row>
    <row r="103" spans="1:17" x14ac:dyDescent="0.3">
      <c r="A103">
        <v>1102</v>
      </c>
      <c r="B103">
        <v>33</v>
      </c>
      <c r="C103" s="1" t="s">
        <v>14</v>
      </c>
      <c r="D103" s="1" t="s">
        <v>16</v>
      </c>
      <c r="E103" s="5">
        <v>45028</v>
      </c>
      <c r="F103">
        <v>8</v>
      </c>
      <c r="G103">
        <v>1</v>
      </c>
      <c r="H103">
        <v>1</v>
      </c>
      <c r="I103">
        <v>114</v>
      </c>
      <c r="J103">
        <v>125</v>
      </c>
      <c r="K103">
        <v>6</v>
      </c>
      <c r="L103">
        <v>0</v>
      </c>
      <c r="M103" s="1" t="s">
        <v>27</v>
      </c>
      <c r="N103">
        <v>2</v>
      </c>
      <c r="O103">
        <v>0</v>
      </c>
      <c r="P103">
        <v>0</v>
      </c>
      <c r="Q103" s="1" t="s">
        <v>26</v>
      </c>
    </row>
    <row r="104" spans="1:17" x14ac:dyDescent="0.3">
      <c r="A104">
        <v>1103</v>
      </c>
      <c r="B104">
        <v>46</v>
      </c>
      <c r="C104" s="1" t="s">
        <v>12</v>
      </c>
      <c r="D104" s="1" t="s">
        <v>18</v>
      </c>
      <c r="E104" s="5">
        <v>45029</v>
      </c>
      <c r="F104">
        <v>6</v>
      </c>
      <c r="G104">
        <v>1</v>
      </c>
      <c r="H104">
        <v>0</v>
      </c>
      <c r="I104">
        <v>191</v>
      </c>
      <c r="J104">
        <v>119</v>
      </c>
      <c r="K104">
        <v>6</v>
      </c>
      <c r="L104">
        <v>1</v>
      </c>
      <c r="M104" s="1" t="s">
        <v>32</v>
      </c>
      <c r="N104">
        <v>1</v>
      </c>
      <c r="O104">
        <v>0</v>
      </c>
      <c r="P104">
        <v>1</v>
      </c>
      <c r="Q104" s="1" t="s">
        <v>29</v>
      </c>
    </row>
    <row r="105" spans="1:17" x14ac:dyDescent="0.3">
      <c r="A105">
        <v>1104</v>
      </c>
      <c r="B105">
        <v>28</v>
      </c>
      <c r="C105" s="1" t="s">
        <v>12</v>
      </c>
      <c r="D105" s="1" t="s">
        <v>18</v>
      </c>
      <c r="E105" s="5">
        <v>45030</v>
      </c>
      <c r="F105">
        <v>7</v>
      </c>
      <c r="G105">
        <v>2</v>
      </c>
      <c r="H105">
        <v>0</v>
      </c>
      <c r="I105">
        <v>216</v>
      </c>
      <c r="J105">
        <v>107</v>
      </c>
      <c r="K105">
        <v>5</v>
      </c>
      <c r="L105">
        <v>0</v>
      </c>
      <c r="M105" s="1" t="s">
        <v>30</v>
      </c>
      <c r="N105">
        <v>2</v>
      </c>
      <c r="O105">
        <v>0</v>
      </c>
      <c r="P105">
        <v>1</v>
      </c>
      <c r="Q105" s="1" t="s">
        <v>29</v>
      </c>
    </row>
    <row r="106" spans="1:17" x14ac:dyDescent="0.3">
      <c r="A106">
        <v>1105</v>
      </c>
      <c r="B106">
        <v>34</v>
      </c>
      <c r="C106" s="1" t="s">
        <v>14</v>
      </c>
      <c r="D106" s="1" t="s">
        <v>18</v>
      </c>
      <c r="E106" s="5">
        <v>45031</v>
      </c>
      <c r="F106">
        <v>3</v>
      </c>
      <c r="G106">
        <v>3</v>
      </c>
      <c r="H106">
        <v>4</v>
      </c>
      <c r="I106">
        <v>124</v>
      </c>
      <c r="J106">
        <v>91</v>
      </c>
      <c r="K106">
        <v>10</v>
      </c>
      <c r="L106">
        <v>0</v>
      </c>
      <c r="M106" s="1" t="s">
        <v>27</v>
      </c>
      <c r="N106">
        <v>7</v>
      </c>
      <c r="O106">
        <v>0</v>
      </c>
      <c r="P106">
        <v>0</v>
      </c>
      <c r="Q106" s="1" t="s">
        <v>31</v>
      </c>
    </row>
    <row r="107" spans="1:17" x14ac:dyDescent="0.3">
      <c r="A107">
        <v>1106</v>
      </c>
      <c r="B107">
        <v>61</v>
      </c>
      <c r="C107" s="1" t="s">
        <v>12</v>
      </c>
      <c r="D107" s="1" t="s">
        <v>15</v>
      </c>
      <c r="E107" s="5">
        <v>45032</v>
      </c>
      <c r="F107">
        <v>14</v>
      </c>
      <c r="G107">
        <v>3</v>
      </c>
      <c r="H107">
        <v>2</v>
      </c>
      <c r="I107">
        <v>169</v>
      </c>
      <c r="J107">
        <v>138</v>
      </c>
      <c r="K107">
        <v>7</v>
      </c>
      <c r="L107">
        <v>0</v>
      </c>
      <c r="M107" s="1" t="s">
        <v>25</v>
      </c>
      <c r="N107">
        <v>5</v>
      </c>
      <c r="O107">
        <v>0</v>
      </c>
      <c r="P107">
        <v>0</v>
      </c>
      <c r="Q107" s="1" t="s">
        <v>26</v>
      </c>
    </row>
    <row r="108" spans="1:17" x14ac:dyDescent="0.3">
      <c r="A108">
        <v>1107</v>
      </c>
      <c r="B108">
        <v>70</v>
      </c>
      <c r="C108" s="1" t="s">
        <v>12</v>
      </c>
      <c r="D108" s="1" t="s">
        <v>17</v>
      </c>
      <c r="E108" s="5">
        <v>45033</v>
      </c>
      <c r="F108">
        <v>1</v>
      </c>
      <c r="G108">
        <v>4</v>
      </c>
      <c r="H108">
        <v>2</v>
      </c>
      <c r="I108">
        <v>242</v>
      </c>
      <c r="J108">
        <v>166</v>
      </c>
      <c r="K108">
        <v>10</v>
      </c>
      <c r="L108">
        <v>0</v>
      </c>
      <c r="M108" s="1" t="s">
        <v>25</v>
      </c>
      <c r="N108">
        <v>6</v>
      </c>
      <c r="O108">
        <v>1</v>
      </c>
      <c r="P108">
        <v>1</v>
      </c>
      <c r="Q108" s="1" t="s">
        <v>31</v>
      </c>
    </row>
    <row r="109" spans="1:17" x14ac:dyDescent="0.3">
      <c r="A109">
        <v>1108</v>
      </c>
      <c r="B109">
        <v>82</v>
      </c>
      <c r="C109" s="1" t="s">
        <v>12</v>
      </c>
      <c r="D109" s="1" t="s">
        <v>15</v>
      </c>
      <c r="E109" s="5">
        <v>45034</v>
      </c>
      <c r="F109">
        <v>5</v>
      </c>
      <c r="G109">
        <v>4</v>
      </c>
      <c r="H109">
        <v>1</v>
      </c>
      <c r="I109">
        <v>205</v>
      </c>
      <c r="J109">
        <v>93</v>
      </c>
      <c r="K109">
        <v>8</v>
      </c>
      <c r="L109">
        <v>0</v>
      </c>
      <c r="M109" s="1" t="s">
        <v>25</v>
      </c>
      <c r="N109">
        <v>5</v>
      </c>
      <c r="O109">
        <v>0</v>
      </c>
      <c r="P109">
        <v>1</v>
      </c>
      <c r="Q109" s="1" t="s">
        <v>29</v>
      </c>
    </row>
    <row r="110" spans="1:17" x14ac:dyDescent="0.3">
      <c r="A110">
        <v>1109</v>
      </c>
      <c r="B110">
        <v>71</v>
      </c>
      <c r="C110" s="1" t="s">
        <v>14</v>
      </c>
      <c r="D110" s="1" t="s">
        <v>17</v>
      </c>
      <c r="E110" s="5">
        <v>45035</v>
      </c>
      <c r="F110">
        <v>14</v>
      </c>
      <c r="G110">
        <v>0</v>
      </c>
      <c r="H110">
        <v>3</v>
      </c>
      <c r="I110">
        <v>188</v>
      </c>
      <c r="J110">
        <v>179</v>
      </c>
      <c r="K110">
        <v>7</v>
      </c>
      <c r="L110">
        <v>0</v>
      </c>
      <c r="M110" s="1" t="s">
        <v>25</v>
      </c>
      <c r="N110">
        <v>3</v>
      </c>
      <c r="O110">
        <v>1</v>
      </c>
      <c r="P110">
        <v>1</v>
      </c>
      <c r="Q110" s="1" t="s">
        <v>26</v>
      </c>
    </row>
    <row r="111" spans="1:17" x14ac:dyDescent="0.3">
      <c r="A111">
        <v>1110</v>
      </c>
      <c r="B111">
        <v>23</v>
      </c>
      <c r="C111" s="1" t="s">
        <v>14</v>
      </c>
      <c r="D111" s="1" t="s">
        <v>15</v>
      </c>
      <c r="E111" s="5">
        <v>45036</v>
      </c>
      <c r="F111">
        <v>12</v>
      </c>
      <c r="G111">
        <v>1</v>
      </c>
      <c r="H111">
        <v>5</v>
      </c>
      <c r="I111">
        <v>122</v>
      </c>
      <c r="J111">
        <v>178</v>
      </c>
      <c r="K111">
        <v>5</v>
      </c>
      <c r="L111">
        <v>0</v>
      </c>
      <c r="M111" s="1" t="s">
        <v>30</v>
      </c>
      <c r="N111">
        <v>6</v>
      </c>
      <c r="O111">
        <v>1</v>
      </c>
      <c r="P111">
        <v>0</v>
      </c>
      <c r="Q111" s="1" t="s">
        <v>26</v>
      </c>
    </row>
    <row r="112" spans="1:17" x14ac:dyDescent="0.3">
      <c r="A112">
        <v>1111</v>
      </c>
      <c r="B112">
        <v>42</v>
      </c>
      <c r="C112" s="1" t="s">
        <v>14</v>
      </c>
      <c r="D112" s="1" t="s">
        <v>15</v>
      </c>
      <c r="E112" s="5">
        <v>45037</v>
      </c>
      <c r="F112">
        <v>12</v>
      </c>
      <c r="G112">
        <v>4</v>
      </c>
      <c r="H112">
        <v>2</v>
      </c>
      <c r="I112">
        <v>101</v>
      </c>
      <c r="J112">
        <v>164</v>
      </c>
      <c r="K112">
        <v>1</v>
      </c>
      <c r="L112">
        <v>1</v>
      </c>
      <c r="M112" s="1" t="s">
        <v>27</v>
      </c>
      <c r="N112">
        <v>6</v>
      </c>
      <c r="O112">
        <v>1</v>
      </c>
      <c r="P112">
        <v>0</v>
      </c>
      <c r="Q112" s="1" t="s">
        <v>26</v>
      </c>
    </row>
    <row r="113" spans="1:17" x14ac:dyDescent="0.3">
      <c r="A113">
        <v>1112</v>
      </c>
      <c r="B113">
        <v>34</v>
      </c>
      <c r="C113" s="1" t="s">
        <v>12</v>
      </c>
      <c r="D113" s="1" t="s">
        <v>16</v>
      </c>
      <c r="E113" s="5">
        <v>45038</v>
      </c>
      <c r="F113">
        <v>2</v>
      </c>
      <c r="G113">
        <v>3</v>
      </c>
      <c r="H113">
        <v>4</v>
      </c>
      <c r="I113">
        <v>120</v>
      </c>
      <c r="J113">
        <v>96</v>
      </c>
      <c r="K113">
        <v>5</v>
      </c>
      <c r="L113">
        <v>1</v>
      </c>
      <c r="M113" s="1" t="s">
        <v>27</v>
      </c>
      <c r="N113">
        <v>7</v>
      </c>
      <c r="O113">
        <v>0</v>
      </c>
      <c r="P113">
        <v>0</v>
      </c>
      <c r="Q113" s="1" t="s">
        <v>31</v>
      </c>
    </row>
    <row r="114" spans="1:17" x14ac:dyDescent="0.3">
      <c r="A114">
        <v>1113</v>
      </c>
      <c r="B114">
        <v>62</v>
      </c>
      <c r="C114" s="1" t="s">
        <v>12</v>
      </c>
      <c r="D114" s="1" t="s">
        <v>15</v>
      </c>
      <c r="E114" s="5">
        <v>45039</v>
      </c>
      <c r="F114">
        <v>14</v>
      </c>
      <c r="G114">
        <v>2</v>
      </c>
      <c r="H114">
        <v>1</v>
      </c>
      <c r="I114">
        <v>113</v>
      </c>
      <c r="J114">
        <v>163</v>
      </c>
      <c r="K114">
        <v>10</v>
      </c>
      <c r="L114">
        <v>0</v>
      </c>
      <c r="M114" s="1" t="s">
        <v>25</v>
      </c>
      <c r="N114">
        <v>3</v>
      </c>
      <c r="O114">
        <v>1</v>
      </c>
      <c r="P114">
        <v>0</v>
      </c>
      <c r="Q114" s="1" t="s">
        <v>26</v>
      </c>
    </row>
    <row r="115" spans="1:17" x14ac:dyDescent="0.3">
      <c r="A115">
        <v>1114</v>
      </c>
      <c r="B115">
        <v>48</v>
      </c>
      <c r="C115" s="1" t="s">
        <v>14</v>
      </c>
      <c r="D115" s="1" t="s">
        <v>13</v>
      </c>
      <c r="E115" s="5">
        <v>45040</v>
      </c>
      <c r="F115">
        <v>5</v>
      </c>
      <c r="G115">
        <v>3</v>
      </c>
      <c r="H115">
        <v>1</v>
      </c>
      <c r="I115">
        <v>151</v>
      </c>
      <c r="J115">
        <v>128</v>
      </c>
      <c r="K115">
        <v>2</v>
      </c>
      <c r="L115">
        <v>0</v>
      </c>
      <c r="M115" s="1" t="s">
        <v>32</v>
      </c>
      <c r="N115">
        <v>4</v>
      </c>
      <c r="O115">
        <v>0</v>
      </c>
      <c r="P115">
        <v>0</v>
      </c>
      <c r="Q115" s="1" t="s">
        <v>29</v>
      </c>
    </row>
    <row r="116" spans="1:17" x14ac:dyDescent="0.3">
      <c r="A116">
        <v>1115</v>
      </c>
      <c r="B116">
        <v>55</v>
      </c>
      <c r="C116" s="1" t="s">
        <v>12</v>
      </c>
      <c r="D116" s="1" t="s">
        <v>16</v>
      </c>
      <c r="E116" s="5">
        <v>45041</v>
      </c>
      <c r="F116">
        <v>8</v>
      </c>
      <c r="G116">
        <v>1</v>
      </c>
      <c r="H116">
        <v>5</v>
      </c>
      <c r="I116">
        <v>215</v>
      </c>
      <c r="J116">
        <v>102</v>
      </c>
      <c r="K116">
        <v>5</v>
      </c>
      <c r="L116">
        <v>1</v>
      </c>
      <c r="M116" s="1" t="s">
        <v>32</v>
      </c>
      <c r="N116">
        <v>6</v>
      </c>
      <c r="O116">
        <v>0</v>
      </c>
      <c r="P116">
        <v>1</v>
      </c>
      <c r="Q116" s="1" t="s">
        <v>26</v>
      </c>
    </row>
    <row r="117" spans="1:17" x14ac:dyDescent="0.3">
      <c r="A117">
        <v>1116</v>
      </c>
      <c r="B117">
        <v>32</v>
      </c>
      <c r="C117" s="1" t="s">
        <v>12</v>
      </c>
      <c r="D117" s="1" t="s">
        <v>15</v>
      </c>
      <c r="E117" s="5">
        <v>45042</v>
      </c>
      <c r="F117">
        <v>11</v>
      </c>
      <c r="G117">
        <v>3</v>
      </c>
      <c r="H117">
        <v>4</v>
      </c>
      <c r="I117">
        <v>219</v>
      </c>
      <c r="J117">
        <v>120</v>
      </c>
      <c r="K117">
        <v>5</v>
      </c>
      <c r="L117">
        <v>0</v>
      </c>
      <c r="M117" s="1" t="s">
        <v>27</v>
      </c>
      <c r="N117">
        <v>7</v>
      </c>
      <c r="O117">
        <v>0</v>
      </c>
      <c r="P117">
        <v>1</v>
      </c>
      <c r="Q117" s="1" t="s">
        <v>26</v>
      </c>
    </row>
    <row r="118" spans="1:17" x14ac:dyDescent="0.3">
      <c r="A118">
        <v>1117</v>
      </c>
      <c r="B118">
        <v>51</v>
      </c>
      <c r="C118" s="1" t="s">
        <v>14</v>
      </c>
      <c r="D118" s="1" t="s">
        <v>18</v>
      </c>
      <c r="E118" s="5">
        <v>45043</v>
      </c>
      <c r="F118">
        <v>9</v>
      </c>
      <c r="G118">
        <v>0</v>
      </c>
      <c r="H118">
        <v>3</v>
      </c>
      <c r="I118">
        <v>106</v>
      </c>
      <c r="J118">
        <v>160</v>
      </c>
      <c r="K118">
        <v>2</v>
      </c>
      <c r="L118">
        <v>0</v>
      </c>
      <c r="M118" s="1" t="s">
        <v>32</v>
      </c>
      <c r="N118">
        <v>3</v>
      </c>
      <c r="O118">
        <v>1</v>
      </c>
      <c r="P118">
        <v>0</v>
      </c>
      <c r="Q118" s="1" t="s">
        <v>26</v>
      </c>
    </row>
    <row r="119" spans="1:17" x14ac:dyDescent="0.3">
      <c r="A119">
        <v>1118</v>
      </c>
      <c r="B119">
        <v>78</v>
      </c>
      <c r="C119" s="1" t="s">
        <v>14</v>
      </c>
      <c r="D119" s="1" t="s">
        <v>13</v>
      </c>
      <c r="E119" s="5">
        <v>45044</v>
      </c>
      <c r="F119">
        <v>2</v>
      </c>
      <c r="G119">
        <v>1</v>
      </c>
      <c r="H119">
        <v>4</v>
      </c>
      <c r="I119">
        <v>165</v>
      </c>
      <c r="J119">
        <v>152</v>
      </c>
      <c r="K119">
        <v>5</v>
      </c>
      <c r="L119">
        <v>1</v>
      </c>
      <c r="M119" s="1" t="s">
        <v>25</v>
      </c>
      <c r="N119">
        <v>5</v>
      </c>
      <c r="O119">
        <v>1</v>
      </c>
      <c r="P119">
        <v>0</v>
      </c>
      <c r="Q119" s="1" t="s">
        <v>31</v>
      </c>
    </row>
    <row r="120" spans="1:17" x14ac:dyDescent="0.3">
      <c r="A120">
        <v>1119</v>
      </c>
      <c r="B120">
        <v>47</v>
      </c>
      <c r="C120" s="1" t="s">
        <v>12</v>
      </c>
      <c r="D120" s="1" t="s">
        <v>13</v>
      </c>
      <c r="E120" s="5">
        <v>45045</v>
      </c>
      <c r="F120">
        <v>12</v>
      </c>
      <c r="G120">
        <v>2</v>
      </c>
      <c r="H120">
        <v>3</v>
      </c>
      <c r="I120">
        <v>125</v>
      </c>
      <c r="J120">
        <v>145</v>
      </c>
      <c r="K120">
        <v>4</v>
      </c>
      <c r="L120">
        <v>0</v>
      </c>
      <c r="M120" s="1" t="s">
        <v>32</v>
      </c>
      <c r="N120">
        <v>5</v>
      </c>
      <c r="O120">
        <v>1</v>
      </c>
      <c r="P120">
        <v>0</v>
      </c>
      <c r="Q120" s="1" t="s">
        <v>26</v>
      </c>
    </row>
    <row r="121" spans="1:17" x14ac:dyDescent="0.3">
      <c r="A121">
        <v>1120</v>
      </c>
      <c r="B121">
        <v>85</v>
      </c>
      <c r="C121" s="1" t="s">
        <v>12</v>
      </c>
      <c r="D121" s="1" t="s">
        <v>13</v>
      </c>
      <c r="E121" s="5">
        <v>45046</v>
      </c>
      <c r="F121">
        <v>3</v>
      </c>
      <c r="G121">
        <v>0</v>
      </c>
      <c r="H121">
        <v>4</v>
      </c>
      <c r="I121">
        <v>174</v>
      </c>
      <c r="J121">
        <v>131</v>
      </c>
      <c r="K121">
        <v>1</v>
      </c>
      <c r="L121">
        <v>0</v>
      </c>
      <c r="M121" s="1" t="s">
        <v>25</v>
      </c>
      <c r="N121">
        <v>4</v>
      </c>
      <c r="O121">
        <v>0</v>
      </c>
      <c r="P121">
        <v>0</v>
      </c>
      <c r="Q121" s="1" t="s">
        <v>31</v>
      </c>
    </row>
    <row r="122" spans="1:17" x14ac:dyDescent="0.3">
      <c r="A122">
        <v>1121</v>
      </c>
      <c r="B122">
        <v>61</v>
      </c>
      <c r="C122" s="1" t="s">
        <v>12</v>
      </c>
      <c r="D122" s="1" t="s">
        <v>16</v>
      </c>
      <c r="E122" s="5">
        <v>45047</v>
      </c>
      <c r="F122">
        <v>3</v>
      </c>
      <c r="G122">
        <v>1</v>
      </c>
      <c r="H122">
        <v>4</v>
      </c>
      <c r="I122">
        <v>128</v>
      </c>
      <c r="J122">
        <v>150</v>
      </c>
      <c r="K122">
        <v>3</v>
      </c>
      <c r="L122">
        <v>0</v>
      </c>
      <c r="M122" s="1" t="s">
        <v>25</v>
      </c>
      <c r="N122">
        <v>5</v>
      </c>
      <c r="O122">
        <v>1</v>
      </c>
      <c r="P122">
        <v>0</v>
      </c>
      <c r="Q122" s="1" t="s">
        <v>31</v>
      </c>
    </row>
    <row r="123" spans="1:17" x14ac:dyDescent="0.3">
      <c r="A123">
        <v>1122</v>
      </c>
      <c r="B123">
        <v>64</v>
      </c>
      <c r="C123" s="1" t="s">
        <v>14</v>
      </c>
      <c r="D123" s="1" t="s">
        <v>15</v>
      </c>
      <c r="E123" s="5">
        <v>45048</v>
      </c>
      <c r="F123">
        <v>1</v>
      </c>
      <c r="G123">
        <v>2</v>
      </c>
      <c r="H123">
        <v>0</v>
      </c>
      <c r="I123">
        <v>200</v>
      </c>
      <c r="J123">
        <v>131</v>
      </c>
      <c r="K123">
        <v>1</v>
      </c>
      <c r="L123">
        <v>0</v>
      </c>
      <c r="M123" s="1" t="s">
        <v>25</v>
      </c>
      <c r="N123">
        <v>2</v>
      </c>
      <c r="O123">
        <v>0</v>
      </c>
      <c r="P123">
        <v>1</v>
      </c>
      <c r="Q123" s="1" t="s">
        <v>31</v>
      </c>
    </row>
    <row r="124" spans="1:17" x14ac:dyDescent="0.3">
      <c r="A124">
        <v>1123</v>
      </c>
      <c r="B124">
        <v>81</v>
      </c>
      <c r="C124" s="1" t="s">
        <v>14</v>
      </c>
      <c r="D124" s="1" t="s">
        <v>15</v>
      </c>
      <c r="E124" s="5">
        <v>45049</v>
      </c>
      <c r="F124">
        <v>8</v>
      </c>
      <c r="G124">
        <v>0</v>
      </c>
      <c r="H124">
        <v>1</v>
      </c>
      <c r="I124">
        <v>225</v>
      </c>
      <c r="J124">
        <v>145</v>
      </c>
      <c r="K124">
        <v>11</v>
      </c>
      <c r="L124">
        <v>0</v>
      </c>
      <c r="M124" s="1" t="s">
        <v>25</v>
      </c>
      <c r="N124">
        <v>1</v>
      </c>
      <c r="O124">
        <v>1</v>
      </c>
      <c r="P124">
        <v>1</v>
      </c>
      <c r="Q124" s="1" t="s">
        <v>26</v>
      </c>
    </row>
    <row r="125" spans="1:17" x14ac:dyDescent="0.3">
      <c r="A125">
        <v>1124</v>
      </c>
      <c r="B125">
        <v>76</v>
      </c>
      <c r="C125" s="1" t="s">
        <v>14</v>
      </c>
      <c r="D125" s="1" t="s">
        <v>18</v>
      </c>
      <c r="E125" s="5">
        <v>45050</v>
      </c>
      <c r="F125">
        <v>6</v>
      </c>
      <c r="G125">
        <v>0</v>
      </c>
      <c r="H125">
        <v>4</v>
      </c>
      <c r="I125">
        <v>104</v>
      </c>
      <c r="J125">
        <v>125</v>
      </c>
      <c r="K125">
        <v>5</v>
      </c>
      <c r="L125">
        <v>1</v>
      </c>
      <c r="M125" s="1" t="s">
        <v>25</v>
      </c>
      <c r="N125">
        <v>4</v>
      </c>
      <c r="O125">
        <v>0</v>
      </c>
      <c r="P125">
        <v>0</v>
      </c>
      <c r="Q125" s="1" t="s">
        <v>29</v>
      </c>
    </row>
    <row r="126" spans="1:17" x14ac:dyDescent="0.3">
      <c r="A126">
        <v>1125</v>
      </c>
      <c r="B126">
        <v>25</v>
      </c>
      <c r="C126" s="1" t="s">
        <v>14</v>
      </c>
      <c r="D126" s="1" t="s">
        <v>18</v>
      </c>
      <c r="E126" s="5">
        <v>45051</v>
      </c>
      <c r="F126">
        <v>12</v>
      </c>
      <c r="G126">
        <v>1</v>
      </c>
      <c r="H126">
        <v>5</v>
      </c>
      <c r="I126">
        <v>162</v>
      </c>
      <c r="J126">
        <v>173</v>
      </c>
      <c r="K126">
        <v>4</v>
      </c>
      <c r="L126">
        <v>0</v>
      </c>
      <c r="M126" s="1" t="s">
        <v>30</v>
      </c>
      <c r="N126">
        <v>6</v>
      </c>
      <c r="O126">
        <v>1</v>
      </c>
      <c r="P126">
        <v>0</v>
      </c>
      <c r="Q126" s="1" t="s">
        <v>26</v>
      </c>
    </row>
    <row r="127" spans="1:17" x14ac:dyDescent="0.3">
      <c r="A127">
        <v>1126</v>
      </c>
      <c r="B127">
        <v>47</v>
      </c>
      <c r="C127" s="1" t="s">
        <v>12</v>
      </c>
      <c r="D127" s="1" t="s">
        <v>13</v>
      </c>
      <c r="E127" s="5">
        <v>45052</v>
      </c>
      <c r="F127">
        <v>13</v>
      </c>
      <c r="G127">
        <v>4</v>
      </c>
      <c r="H127">
        <v>4</v>
      </c>
      <c r="I127">
        <v>166</v>
      </c>
      <c r="J127">
        <v>157</v>
      </c>
      <c r="K127">
        <v>7</v>
      </c>
      <c r="L127">
        <v>0</v>
      </c>
      <c r="M127" s="1" t="s">
        <v>32</v>
      </c>
      <c r="N127">
        <v>8</v>
      </c>
      <c r="O127">
        <v>1</v>
      </c>
      <c r="P127">
        <v>0</v>
      </c>
      <c r="Q127" s="1" t="s">
        <v>26</v>
      </c>
    </row>
    <row r="128" spans="1:17" x14ac:dyDescent="0.3">
      <c r="A128">
        <v>1127</v>
      </c>
      <c r="B128">
        <v>47</v>
      </c>
      <c r="C128" s="1" t="s">
        <v>14</v>
      </c>
      <c r="D128" s="1" t="s">
        <v>18</v>
      </c>
      <c r="E128" s="5">
        <v>45053</v>
      </c>
      <c r="F128">
        <v>8</v>
      </c>
      <c r="G128">
        <v>0</v>
      </c>
      <c r="H128">
        <v>2</v>
      </c>
      <c r="I128">
        <v>204</v>
      </c>
      <c r="J128">
        <v>96</v>
      </c>
      <c r="K128">
        <v>5</v>
      </c>
      <c r="L128">
        <v>1</v>
      </c>
      <c r="M128" s="1" t="s">
        <v>32</v>
      </c>
      <c r="N128">
        <v>2</v>
      </c>
      <c r="O128">
        <v>0</v>
      </c>
      <c r="P128">
        <v>1</v>
      </c>
      <c r="Q128" s="1" t="s">
        <v>26</v>
      </c>
    </row>
    <row r="129" spans="1:17" x14ac:dyDescent="0.3">
      <c r="A129">
        <v>1128</v>
      </c>
      <c r="B129">
        <v>63</v>
      </c>
      <c r="C129" s="1" t="s">
        <v>14</v>
      </c>
      <c r="D129" s="1" t="s">
        <v>16</v>
      </c>
      <c r="E129" s="5">
        <v>45054</v>
      </c>
      <c r="F129">
        <v>11</v>
      </c>
      <c r="G129">
        <v>0</v>
      </c>
      <c r="H129">
        <v>1</v>
      </c>
      <c r="I129">
        <v>145</v>
      </c>
      <c r="J129">
        <v>143</v>
      </c>
      <c r="K129">
        <v>10</v>
      </c>
      <c r="L129">
        <v>0</v>
      </c>
      <c r="M129" s="1" t="s">
        <v>25</v>
      </c>
      <c r="N129">
        <v>1</v>
      </c>
      <c r="O129">
        <v>1</v>
      </c>
      <c r="P129">
        <v>0</v>
      </c>
      <c r="Q129" s="1" t="s">
        <v>26</v>
      </c>
    </row>
    <row r="130" spans="1:17" x14ac:dyDescent="0.3">
      <c r="A130">
        <v>1129</v>
      </c>
      <c r="B130">
        <v>49</v>
      </c>
      <c r="C130" s="1" t="s">
        <v>14</v>
      </c>
      <c r="D130" s="1" t="s">
        <v>15</v>
      </c>
      <c r="E130" s="5">
        <v>45055</v>
      </c>
      <c r="F130">
        <v>9</v>
      </c>
      <c r="G130">
        <v>2</v>
      </c>
      <c r="H130">
        <v>2</v>
      </c>
      <c r="I130">
        <v>118</v>
      </c>
      <c r="J130">
        <v>90</v>
      </c>
      <c r="K130">
        <v>4</v>
      </c>
      <c r="L130">
        <v>0</v>
      </c>
      <c r="M130" s="1" t="s">
        <v>32</v>
      </c>
      <c r="N130">
        <v>4</v>
      </c>
      <c r="O130">
        <v>0</v>
      </c>
      <c r="P130">
        <v>0</v>
      </c>
      <c r="Q130" s="1" t="s">
        <v>26</v>
      </c>
    </row>
    <row r="131" spans="1:17" x14ac:dyDescent="0.3">
      <c r="A131">
        <v>1130</v>
      </c>
      <c r="B131">
        <v>81</v>
      </c>
      <c r="C131" s="1" t="s">
        <v>14</v>
      </c>
      <c r="D131" s="1" t="s">
        <v>13</v>
      </c>
      <c r="E131" s="5">
        <v>45056</v>
      </c>
      <c r="F131">
        <v>5</v>
      </c>
      <c r="G131">
        <v>3</v>
      </c>
      <c r="H131">
        <v>1</v>
      </c>
      <c r="I131">
        <v>163</v>
      </c>
      <c r="J131">
        <v>133</v>
      </c>
      <c r="K131">
        <v>2</v>
      </c>
      <c r="L131">
        <v>1</v>
      </c>
      <c r="M131" s="1" t="s">
        <v>25</v>
      </c>
      <c r="N131">
        <v>4</v>
      </c>
      <c r="O131">
        <v>0</v>
      </c>
      <c r="P131">
        <v>0</v>
      </c>
      <c r="Q131" s="1" t="s">
        <v>29</v>
      </c>
    </row>
    <row r="132" spans="1:17" x14ac:dyDescent="0.3">
      <c r="A132">
        <v>1131</v>
      </c>
      <c r="B132">
        <v>81</v>
      </c>
      <c r="C132" s="1" t="s">
        <v>14</v>
      </c>
      <c r="D132" s="1" t="s">
        <v>18</v>
      </c>
      <c r="E132" s="5">
        <v>45057</v>
      </c>
      <c r="F132">
        <v>14</v>
      </c>
      <c r="G132">
        <v>1</v>
      </c>
      <c r="H132">
        <v>2</v>
      </c>
      <c r="I132">
        <v>228</v>
      </c>
      <c r="J132">
        <v>134</v>
      </c>
      <c r="K132">
        <v>4</v>
      </c>
      <c r="L132">
        <v>0</v>
      </c>
      <c r="M132" s="1" t="s">
        <v>25</v>
      </c>
      <c r="N132">
        <v>3</v>
      </c>
      <c r="O132">
        <v>0</v>
      </c>
      <c r="P132">
        <v>1</v>
      </c>
      <c r="Q132" s="1" t="s">
        <v>26</v>
      </c>
    </row>
    <row r="133" spans="1:17" x14ac:dyDescent="0.3">
      <c r="A133">
        <v>1132</v>
      </c>
      <c r="B133">
        <v>20</v>
      </c>
      <c r="C133" s="1" t="s">
        <v>12</v>
      </c>
      <c r="D133" s="1" t="s">
        <v>16</v>
      </c>
      <c r="E133" s="5">
        <v>45058</v>
      </c>
      <c r="F133">
        <v>12</v>
      </c>
      <c r="G133">
        <v>1</v>
      </c>
      <c r="H133">
        <v>4</v>
      </c>
      <c r="I133">
        <v>93</v>
      </c>
      <c r="J133">
        <v>136</v>
      </c>
      <c r="K133">
        <v>2</v>
      </c>
      <c r="L133">
        <v>1</v>
      </c>
      <c r="M133" s="1" t="s">
        <v>30</v>
      </c>
      <c r="N133">
        <v>5</v>
      </c>
      <c r="O133">
        <v>0</v>
      </c>
      <c r="P133">
        <v>0</v>
      </c>
      <c r="Q133" s="1" t="s">
        <v>26</v>
      </c>
    </row>
    <row r="134" spans="1:17" x14ac:dyDescent="0.3">
      <c r="A134">
        <v>1133</v>
      </c>
      <c r="B134">
        <v>46</v>
      </c>
      <c r="C134" s="1" t="s">
        <v>12</v>
      </c>
      <c r="D134" s="1" t="s">
        <v>16</v>
      </c>
      <c r="E134" s="5">
        <v>45059</v>
      </c>
      <c r="F134">
        <v>14</v>
      </c>
      <c r="G134">
        <v>4</v>
      </c>
      <c r="H134">
        <v>4</v>
      </c>
      <c r="I134">
        <v>217</v>
      </c>
      <c r="J134">
        <v>102</v>
      </c>
      <c r="K134">
        <v>8</v>
      </c>
      <c r="L134">
        <v>1</v>
      </c>
      <c r="M134" s="1" t="s">
        <v>32</v>
      </c>
      <c r="N134">
        <v>8</v>
      </c>
      <c r="O134">
        <v>0</v>
      </c>
      <c r="P134">
        <v>1</v>
      </c>
      <c r="Q134" s="1" t="s">
        <v>26</v>
      </c>
    </row>
    <row r="135" spans="1:17" x14ac:dyDescent="0.3">
      <c r="A135">
        <v>1134</v>
      </c>
      <c r="B135">
        <v>81</v>
      </c>
      <c r="C135" s="1" t="s">
        <v>14</v>
      </c>
      <c r="D135" s="1" t="s">
        <v>18</v>
      </c>
      <c r="E135" s="5">
        <v>45060</v>
      </c>
      <c r="F135">
        <v>3</v>
      </c>
      <c r="G135">
        <v>4</v>
      </c>
      <c r="H135">
        <v>0</v>
      </c>
      <c r="I135">
        <v>106</v>
      </c>
      <c r="J135">
        <v>111</v>
      </c>
      <c r="K135">
        <v>3</v>
      </c>
      <c r="L135">
        <v>0</v>
      </c>
      <c r="M135" s="1" t="s">
        <v>25</v>
      </c>
      <c r="N135">
        <v>4</v>
      </c>
      <c r="O135">
        <v>0</v>
      </c>
      <c r="P135">
        <v>0</v>
      </c>
      <c r="Q135" s="1" t="s">
        <v>31</v>
      </c>
    </row>
    <row r="136" spans="1:17" x14ac:dyDescent="0.3">
      <c r="A136">
        <v>1135</v>
      </c>
      <c r="B136">
        <v>22</v>
      </c>
      <c r="C136" s="1" t="s">
        <v>12</v>
      </c>
      <c r="D136" s="1" t="s">
        <v>15</v>
      </c>
      <c r="E136" s="5">
        <v>45061</v>
      </c>
      <c r="F136">
        <v>5</v>
      </c>
      <c r="G136">
        <v>1</v>
      </c>
      <c r="H136">
        <v>5</v>
      </c>
      <c r="I136">
        <v>73</v>
      </c>
      <c r="J136">
        <v>110</v>
      </c>
      <c r="K136">
        <v>9</v>
      </c>
      <c r="L136">
        <v>0</v>
      </c>
      <c r="M136" s="1" t="s">
        <v>30</v>
      </c>
      <c r="N136">
        <v>6</v>
      </c>
      <c r="O136">
        <v>0</v>
      </c>
      <c r="P136">
        <v>0</v>
      </c>
      <c r="Q136" s="1" t="s">
        <v>29</v>
      </c>
    </row>
    <row r="137" spans="1:17" x14ac:dyDescent="0.3">
      <c r="A137">
        <v>1136</v>
      </c>
      <c r="B137">
        <v>89</v>
      </c>
      <c r="C137" s="1" t="s">
        <v>14</v>
      </c>
      <c r="D137" s="1" t="s">
        <v>18</v>
      </c>
      <c r="E137" s="5">
        <v>45062</v>
      </c>
      <c r="F137">
        <v>5</v>
      </c>
      <c r="G137">
        <v>4</v>
      </c>
      <c r="H137">
        <v>2</v>
      </c>
      <c r="I137">
        <v>177</v>
      </c>
      <c r="J137">
        <v>175</v>
      </c>
      <c r="K137">
        <v>4</v>
      </c>
      <c r="L137">
        <v>1</v>
      </c>
      <c r="M137" s="1" t="s">
        <v>25</v>
      </c>
      <c r="N137">
        <v>6</v>
      </c>
      <c r="O137">
        <v>1</v>
      </c>
      <c r="P137">
        <v>0</v>
      </c>
      <c r="Q137" s="1" t="s">
        <v>29</v>
      </c>
    </row>
    <row r="138" spans="1:17" x14ac:dyDescent="0.3">
      <c r="A138">
        <v>1137</v>
      </c>
      <c r="B138">
        <v>46</v>
      </c>
      <c r="C138" s="1" t="s">
        <v>14</v>
      </c>
      <c r="D138" s="1" t="s">
        <v>13</v>
      </c>
      <c r="E138" s="5">
        <v>45063</v>
      </c>
      <c r="F138">
        <v>5</v>
      </c>
      <c r="G138">
        <v>2</v>
      </c>
      <c r="H138">
        <v>3</v>
      </c>
      <c r="I138">
        <v>195</v>
      </c>
      <c r="J138">
        <v>98</v>
      </c>
      <c r="K138">
        <v>6</v>
      </c>
      <c r="L138">
        <v>0</v>
      </c>
      <c r="M138" s="1" t="s">
        <v>32</v>
      </c>
      <c r="N138">
        <v>5</v>
      </c>
      <c r="O138">
        <v>0</v>
      </c>
      <c r="P138">
        <v>1</v>
      </c>
      <c r="Q138" s="1" t="s">
        <v>29</v>
      </c>
    </row>
    <row r="139" spans="1:17" x14ac:dyDescent="0.3">
      <c r="A139">
        <v>1138</v>
      </c>
      <c r="B139">
        <v>28</v>
      </c>
      <c r="C139" s="1" t="s">
        <v>12</v>
      </c>
      <c r="D139" s="1" t="s">
        <v>18</v>
      </c>
      <c r="E139" s="5">
        <v>45064</v>
      </c>
      <c r="F139">
        <v>3</v>
      </c>
      <c r="G139">
        <v>1</v>
      </c>
      <c r="H139">
        <v>0</v>
      </c>
      <c r="I139">
        <v>89</v>
      </c>
      <c r="J139">
        <v>115</v>
      </c>
      <c r="K139">
        <v>10</v>
      </c>
      <c r="L139">
        <v>1</v>
      </c>
      <c r="M139" s="1" t="s">
        <v>30</v>
      </c>
      <c r="N139">
        <v>1</v>
      </c>
      <c r="O139">
        <v>0</v>
      </c>
      <c r="P139">
        <v>0</v>
      </c>
      <c r="Q139" s="1" t="s">
        <v>31</v>
      </c>
    </row>
    <row r="140" spans="1:17" x14ac:dyDescent="0.3">
      <c r="A140">
        <v>1139</v>
      </c>
      <c r="B140">
        <v>81</v>
      </c>
      <c r="C140" s="1" t="s">
        <v>12</v>
      </c>
      <c r="D140" s="1" t="s">
        <v>16</v>
      </c>
      <c r="E140" s="5">
        <v>45065</v>
      </c>
      <c r="F140">
        <v>11</v>
      </c>
      <c r="G140">
        <v>4</v>
      </c>
      <c r="H140">
        <v>2</v>
      </c>
      <c r="I140">
        <v>221</v>
      </c>
      <c r="J140">
        <v>98</v>
      </c>
      <c r="K140">
        <v>5</v>
      </c>
      <c r="L140">
        <v>0</v>
      </c>
      <c r="M140" s="1" t="s">
        <v>25</v>
      </c>
      <c r="N140">
        <v>6</v>
      </c>
      <c r="O140">
        <v>0</v>
      </c>
      <c r="P140">
        <v>1</v>
      </c>
      <c r="Q140" s="1" t="s">
        <v>26</v>
      </c>
    </row>
    <row r="141" spans="1:17" x14ac:dyDescent="0.3">
      <c r="A141">
        <v>1140</v>
      </c>
      <c r="B141">
        <v>56</v>
      </c>
      <c r="C141" s="1" t="s">
        <v>14</v>
      </c>
      <c r="D141" s="1" t="s">
        <v>18</v>
      </c>
      <c r="E141" s="5">
        <v>45066</v>
      </c>
      <c r="F141">
        <v>14</v>
      </c>
      <c r="G141">
        <v>1</v>
      </c>
      <c r="H141">
        <v>2</v>
      </c>
      <c r="I141">
        <v>119</v>
      </c>
      <c r="J141">
        <v>104</v>
      </c>
      <c r="K141">
        <v>10</v>
      </c>
      <c r="L141">
        <v>0</v>
      </c>
      <c r="M141" s="1" t="s">
        <v>32</v>
      </c>
      <c r="N141">
        <v>3</v>
      </c>
      <c r="O141">
        <v>0</v>
      </c>
      <c r="P141">
        <v>0</v>
      </c>
      <c r="Q141" s="1" t="s">
        <v>26</v>
      </c>
    </row>
    <row r="142" spans="1:17" x14ac:dyDescent="0.3">
      <c r="A142">
        <v>1141</v>
      </c>
      <c r="B142">
        <v>70</v>
      </c>
      <c r="C142" s="1" t="s">
        <v>14</v>
      </c>
      <c r="D142" s="1" t="s">
        <v>15</v>
      </c>
      <c r="E142" s="5">
        <v>45067</v>
      </c>
      <c r="F142">
        <v>10</v>
      </c>
      <c r="G142">
        <v>3</v>
      </c>
      <c r="H142">
        <v>0</v>
      </c>
      <c r="I142">
        <v>246</v>
      </c>
      <c r="J142">
        <v>99</v>
      </c>
      <c r="K142">
        <v>1</v>
      </c>
      <c r="L142">
        <v>0</v>
      </c>
      <c r="M142" s="1" t="s">
        <v>25</v>
      </c>
      <c r="N142">
        <v>3</v>
      </c>
      <c r="O142">
        <v>0</v>
      </c>
      <c r="P142">
        <v>1</v>
      </c>
      <c r="Q142" s="1" t="s">
        <v>26</v>
      </c>
    </row>
    <row r="143" spans="1:17" x14ac:dyDescent="0.3">
      <c r="A143">
        <v>1142</v>
      </c>
      <c r="B143">
        <v>63</v>
      </c>
      <c r="C143" s="1" t="s">
        <v>14</v>
      </c>
      <c r="D143" s="1" t="s">
        <v>17</v>
      </c>
      <c r="E143" s="5">
        <v>45068</v>
      </c>
      <c r="F143">
        <v>14</v>
      </c>
      <c r="G143">
        <v>0</v>
      </c>
      <c r="H143">
        <v>4</v>
      </c>
      <c r="I143">
        <v>248</v>
      </c>
      <c r="J143">
        <v>177</v>
      </c>
      <c r="K143">
        <v>9</v>
      </c>
      <c r="L143">
        <v>1</v>
      </c>
      <c r="M143" s="1" t="s">
        <v>25</v>
      </c>
      <c r="N143">
        <v>4</v>
      </c>
      <c r="O143">
        <v>1</v>
      </c>
      <c r="P143">
        <v>1</v>
      </c>
      <c r="Q143" s="1" t="s">
        <v>26</v>
      </c>
    </row>
    <row r="144" spans="1:17" x14ac:dyDescent="0.3">
      <c r="A144">
        <v>1143</v>
      </c>
      <c r="B144">
        <v>43</v>
      </c>
      <c r="C144" s="1" t="s">
        <v>12</v>
      </c>
      <c r="D144" s="1" t="s">
        <v>18</v>
      </c>
      <c r="E144" s="5">
        <v>45069</v>
      </c>
      <c r="F144">
        <v>4</v>
      </c>
      <c r="G144">
        <v>1</v>
      </c>
      <c r="H144">
        <v>2</v>
      </c>
      <c r="I144">
        <v>165</v>
      </c>
      <c r="J144">
        <v>131</v>
      </c>
      <c r="K144">
        <v>1</v>
      </c>
      <c r="L144">
        <v>1</v>
      </c>
      <c r="M144" s="1" t="s">
        <v>27</v>
      </c>
      <c r="N144">
        <v>3</v>
      </c>
      <c r="O144">
        <v>0</v>
      </c>
      <c r="P144">
        <v>0</v>
      </c>
      <c r="Q144" s="1" t="s">
        <v>29</v>
      </c>
    </row>
    <row r="145" spans="1:17" x14ac:dyDescent="0.3">
      <c r="A145">
        <v>1144</v>
      </c>
      <c r="B145">
        <v>78</v>
      </c>
      <c r="C145" s="1" t="s">
        <v>14</v>
      </c>
      <c r="D145" s="1" t="s">
        <v>15</v>
      </c>
      <c r="E145" s="5">
        <v>45070</v>
      </c>
      <c r="F145">
        <v>9</v>
      </c>
      <c r="G145">
        <v>0</v>
      </c>
      <c r="H145">
        <v>4</v>
      </c>
      <c r="I145">
        <v>174</v>
      </c>
      <c r="J145">
        <v>161</v>
      </c>
      <c r="K145">
        <v>8</v>
      </c>
      <c r="L145">
        <v>0</v>
      </c>
      <c r="M145" s="1" t="s">
        <v>25</v>
      </c>
      <c r="N145">
        <v>4</v>
      </c>
      <c r="O145">
        <v>1</v>
      </c>
      <c r="P145">
        <v>0</v>
      </c>
      <c r="Q145" s="1" t="s">
        <v>26</v>
      </c>
    </row>
    <row r="146" spans="1:17" x14ac:dyDescent="0.3">
      <c r="A146">
        <v>1145</v>
      </c>
      <c r="B146">
        <v>51</v>
      </c>
      <c r="C146" s="1" t="s">
        <v>14</v>
      </c>
      <c r="D146" s="1" t="s">
        <v>15</v>
      </c>
      <c r="E146" s="5">
        <v>45071</v>
      </c>
      <c r="F146">
        <v>13</v>
      </c>
      <c r="G146">
        <v>4</v>
      </c>
      <c r="H146">
        <v>0</v>
      </c>
      <c r="I146">
        <v>233</v>
      </c>
      <c r="J146">
        <v>113</v>
      </c>
      <c r="K146">
        <v>9</v>
      </c>
      <c r="L146">
        <v>0</v>
      </c>
      <c r="M146" s="1" t="s">
        <v>32</v>
      </c>
      <c r="N146">
        <v>4</v>
      </c>
      <c r="O146">
        <v>0</v>
      </c>
      <c r="P146">
        <v>1</v>
      </c>
      <c r="Q146" s="1" t="s">
        <v>26</v>
      </c>
    </row>
    <row r="147" spans="1:17" x14ac:dyDescent="0.3">
      <c r="A147">
        <v>1146</v>
      </c>
      <c r="B147">
        <v>71</v>
      </c>
      <c r="C147" s="1" t="s">
        <v>14</v>
      </c>
      <c r="D147" s="1" t="s">
        <v>16</v>
      </c>
      <c r="E147" s="5">
        <v>45072</v>
      </c>
      <c r="F147">
        <v>10</v>
      </c>
      <c r="G147">
        <v>0</v>
      </c>
      <c r="H147">
        <v>4</v>
      </c>
      <c r="I147">
        <v>186</v>
      </c>
      <c r="J147">
        <v>169</v>
      </c>
      <c r="K147">
        <v>9</v>
      </c>
      <c r="L147">
        <v>1</v>
      </c>
      <c r="M147" s="1" t="s">
        <v>25</v>
      </c>
      <c r="N147">
        <v>4</v>
      </c>
      <c r="O147">
        <v>1</v>
      </c>
      <c r="P147">
        <v>1</v>
      </c>
      <c r="Q147" s="1" t="s">
        <v>26</v>
      </c>
    </row>
    <row r="148" spans="1:17" x14ac:dyDescent="0.3">
      <c r="A148">
        <v>1147</v>
      </c>
      <c r="B148">
        <v>81</v>
      </c>
      <c r="C148" s="1" t="s">
        <v>12</v>
      </c>
      <c r="D148" s="1" t="s">
        <v>15</v>
      </c>
      <c r="E148" s="5">
        <v>45073</v>
      </c>
      <c r="F148">
        <v>9</v>
      </c>
      <c r="G148">
        <v>1</v>
      </c>
      <c r="H148">
        <v>1</v>
      </c>
      <c r="I148">
        <v>167</v>
      </c>
      <c r="J148">
        <v>138</v>
      </c>
      <c r="K148">
        <v>1</v>
      </c>
      <c r="L148">
        <v>0</v>
      </c>
      <c r="M148" s="1" t="s">
        <v>25</v>
      </c>
      <c r="N148">
        <v>2</v>
      </c>
      <c r="O148">
        <v>0</v>
      </c>
      <c r="P148">
        <v>0</v>
      </c>
      <c r="Q148" s="1" t="s">
        <v>26</v>
      </c>
    </row>
    <row r="149" spans="1:17" x14ac:dyDescent="0.3">
      <c r="A149">
        <v>1148</v>
      </c>
      <c r="B149">
        <v>77</v>
      </c>
      <c r="C149" s="1" t="s">
        <v>14</v>
      </c>
      <c r="D149" s="1" t="s">
        <v>15</v>
      </c>
      <c r="E149" s="5">
        <v>45074</v>
      </c>
      <c r="F149">
        <v>2</v>
      </c>
      <c r="G149">
        <v>3</v>
      </c>
      <c r="H149">
        <v>3</v>
      </c>
      <c r="I149">
        <v>135</v>
      </c>
      <c r="J149">
        <v>115</v>
      </c>
      <c r="K149">
        <v>2</v>
      </c>
      <c r="L149">
        <v>0</v>
      </c>
      <c r="M149" s="1" t="s">
        <v>25</v>
      </c>
      <c r="N149">
        <v>6</v>
      </c>
      <c r="O149">
        <v>0</v>
      </c>
      <c r="P149">
        <v>0</v>
      </c>
      <c r="Q149" s="1" t="s">
        <v>31</v>
      </c>
    </row>
    <row r="150" spans="1:17" x14ac:dyDescent="0.3">
      <c r="A150">
        <v>1149</v>
      </c>
      <c r="B150">
        <v>71</v>
      </c>
      <c r="C150" s="1" t="s">
        <v>14</v>
      </c>
      <c r="D150" s="1" t="s">
        <v>15</v>
      </c>
      <c r="E150" s="5">
        <v>45075</v>
      </c>
      <c r="F150">
        <v>8</v>
      </c>
      <c r="G150">
        <v>4</v>
      </c>
      <c r="H150">
        <v>2</v>
      </c>
      <c r="I150">
        <v>148</v>
      </c>
      <c r="J150">
        <v>126</v>
      </c>
      <c r="K150">
        <v>1</v>
      </c>
      <c r="L150">
        <v>0</v>
      </c>
      <c r="M150" s="1" t="s">
        <v>25</v>
      </c>
      <c r="N150">
        <v>6</v>
      </c>
      <c r="O150">
        <v>0</v>
      </c>
      <c r="P150">
        <v>0</v>
      </c>
      <c r="Q150" s="1" t="s">
        <v>26</v>
      </c>
    </row>
    <row r="151" spans="1:17" x14ac:dyDescent="0.3">
      <c r="A151">
        <v>1150</v>
      </c>
      <c r="B151">
        <v>31</v>
      </c>
      <c r="C151" s="1" t="s">
        <v>12</v>
      </c>
      <c r="D151" s="1" t="s">
        <v>15</v>
      </c>
      <c r="E151" s="5">
        <v>45076</v>
      </c>
      <c r="F151">
        <v>8</v>
      </c>
      <c r="G151">
        <v>1</v>
      </c>
      <c r="H151">
        <v>5</v>
      </c>
      <c r="I151">
        <v>231</v>
      </c>
      <c r="J151">
        <v>157</v>
      </c>
      <c r="K151">
        <v>10</v>
      </c>
      <c r="L151">
        <v>0</v>
      </c>
      <c r="M151" s="1" t="s">
        <v>27</v>
      </c>
      <c r="N151">
        <v>6</v>
      </c>
      <c r="O151">
        <v>1</v>
      </c>
      <c r="P151">
        <v>1</v>
      </c>
      <c r="Q151" s="1" t="s">
        <v>26</v>
      </c>
    </row>
    <row r="152" spans="1:17" x14ac:dyDescent="0.3">
      <c r="A152">
        <v>1151</v>
      </c>
      <c r="B152">
        <v>58</v>
      </c>
      <c r="C152" s="1" t="s">
        <v>14</v>
      </c>
      <c r="D152" s="1" t="s">
        <v>13</v>
      </c>
      <c r="E152" s="5">
        <v>45077</v>
      </c>
      <c r="F152">
        <v>7</v>
      </c>
      <c r="G152">
        <v>4</v>
      </c>
      <c r="H152">
        <v>3</v>
      </c>
      <c r="I152">
        <v>233</v>
      </c>
      <c r="J152">
        <v>139</v>
      </c>
      <c r="K152">
        <v>2</v>
      </c>
      <c r="L152">
        <v>1</v>
      </c>
      <c r="M152" s="1" t="s">
        <v>32</v>
      </c>
      <c r="N152">
        <v>7</v>
      </c>
      <c r="O152">
        <v>0</v>
      </c>
      <c r="P152">
        <v>1</v>
      </c>
      <c r="Q152" s="1" t="s">
        <v>29</v>
      </c>
    </row>
    <row r="153" spans="1:17" x14ac:dyDescent="0.3">
      <c r="A153">
        <v>1152</v>
      </c>
      <c r="B153">
        <v>21</v>
      </c>
      <c r="C153" s="1" t="s">
        <v>14</v>
      </c>
      <c r="D153" s="1" t="s">
        <v>13</v>
      </c>
      <c r="E153" s="5">
        <v>45078</v>
      </c>
      <c r="F153">
        <v>8</v>
      </c>
      <c r="G153">
        <v>2</v>
      </c>
      <c r="H153">
        <v>4</v>
      </c>
      <c r="I153">
        <v>75</v>
      </c>
      <c r="J153">
        <v>113</v>
      </c>
      <c r="K153">
        <v>10</v>
      </c>
      <c r="L153">
        <v>0</v>
      </c>
      <c r="M153" s="1" t="s">
        <v>30</v>
      </c>
      <c r="N153">
        <v>6</v>
      </c>
      <c r="O153">
        <v>0</v>
      </c>
      <c r="P153">
        <v>0</v>
      </c>
      <c r="Q153" s="1" t="s">
        <v>26</v>
      </c>
    </row>
    <row r="154" spans="1:17" x14ac:dyDescent="0.3">
      <c r="A154">
        <v>1153</v>
      </c>
      <c r="B154">
        <v>22</v>
      </c>
      <c r="C154" s="1" t="s">
        <v>12</v>
      </c>
      <c r="D154" s="1" t="s">
        <v>16</v>
      </c>
      <c r="E154" s="5">
        <v>45079</v>
      </c>
      <c r="F154">
        <v>14</v>
      </c>
      <c r="G154">
        <v>0</v>
      </c>
      <c r="H154">
        <v>2</v>
      </c>
      <c r="I154">
        <v>108</v>
      </c>
      <c r="J154">
        <v>108</v>
      </c>
      <c r="K154">
        <v>8</v>
      </c>
      <c r="L154">
        <v>0</v>
      </c>
      <c r="M154" s="1" t="s">
        <v>30</v>
      </c>
      <c r="N154">
        <v>2</v>
      </c>
      <c r="O154">
        <v>0</v>
      </c>
      <c r="P154">
        <v>0</v>
      </c>
      <c r="Q154" s="1" t="s">
        <v>26</v>
      </c>
    </row>
    <row r="155" spans="1:17" x14ac:dyDescent="0.3">
      <c r="A155">
        <v>1154</v>
      </c>
      <c r="B155">
        <v>75</v>
      </c>
      <c r="C155" s="1" t="s">
        <v>14</v>
      </c>
      <c r="D155" s="1" t="s">
        <v>18</v>
      </c>
      <c r="E155" s="5">
        <v>45080</v>
      </c>
      <c r="F155">
        <v>3</v>
      </c>
      <c r="G155">
        <v>2</v>
      </c>
      <c r="H155">
        <v>4</v>
      </c>
      <c r="I155">
        <v>239</v>
      </c>
      <c r="J155">
        <v>149</v>
      </c>
      <c r="K155">
        <v>5</v>
      </c>
      <c r="L155">
        <v>0</v>
      </c>
      <c r="M155" s="1" t="s">
        <v>25</v>
      </c>
      <c r="N155">
        <v>6</v>
      </c>
      <c r="O155">
        <v>1</v>
      </c>
      <c r="P155">
        <v>1</v>
      </c>
      <c r="Q155" s="1" t="s">
        <v>31</v>
      </c>
    </row>
    <row r="156" spans="1:17" x14ac:dyDescent="0.3">
      <c r="A156">
        <v>1155</v>
      </c>
      <c r="B156">
        <v>78</v>
      </c>
      <c r="C156" s="1" t="s">
        <v>12</v>
      </c>
      <c r="D156" s="1" t="s">
        <v>15</v>
      </c>
      <c r="E156" s="5">
        <v>45081</v>
      </c>
      <c r="F156">
        <v>13</v>
      </c>
      <c r="G156">
        <v>1</v>
      </c>
      <c r="H156">
        <v>1</v>
      </c>
      <c r="I156">
        <v>184</v>
      </c>
      <c r="J156">
        <v>128</v>
      </c>
      <c r="K156">
        <v>11</v>
      </c>
      <c r="L156">
        <v>1</v>
      </c>
      <c r="M156" s="1" t="s">
        <v>25</v>
      </c>
      <c r="N156">
        <v>2</v>
      </c>
      <c r="O156">
        <v>0</v>
      </c>
      <c r="P156">
        <v>1</v>
      </c>
      <c r="Q156" s="1" t="s">
        <v>26</v>
      </c>
    </row>
    <row r="157" spans="1:17" x14ac:dyDescent="0.3">
      <c r="A157">
        <v>1156</v>
      </c>
      <c r="B157">
        <v>21</v>
      </c>
      <c r="C157" s="1" t="s">
        <v>12</v>
      </c>
      <c r="D157" s="1" t="s">
        <v>18</v>
      </c>
      <c r="E157" s="5">
        <v>45082</v>
      </c>
      <c r="F157">
        <v>6</v>
      </c>
      <c r="G157">
        <v>3</v>
      </c>
      <c r="H157">
        <v>0</v>
      </c>
      <c r="I157">
        <v>194</v>
      </c>
      <c r="J157">
        <v>163</v>
      </c>
      <c r="K157">
        <v>7</v>
      </c>
      <c r="L157">
        <v>0</v>
      </c>
      <c r="M157" s="1" t="s">
        <v>30</v>
      </c>
      <c r="N157">
        <v>3</v>
      </c>
      <c r="O157">
        <v>1</v>
      </c>
      <c r="P157">
        <v>1</v>
      </c>
      <c r="Q157" s="1" t="s">
        <v>29</v>
      </c>
    </row>
    <row r="158" spans="1:17" x14ac:dyDescent="0.3">
      <c r="A158">
        <v>1157</v>
      </c>
      <c r="B158">
        <v>21</v>
      </c>
      <c r="C158" s="1" t="s">
        <v>14</v>
      </c>
      <c r="D158" s="1" t="s">
        <v>18</v>
      </c>
      <c r="E158" s="5">
        <v>45083</v>
      </c>
      <c r="F158">
        <v>1</v>
      </c>
      <c r="G158">
        <v>4</v>
      </c>
      <c r="H158">
        <v>2</v>
      </c>
      <c r="I158">
        <v>81</v>
      </c>
      <c r="J158">
        <v>178</v>
      </c>
      <c r="K158">
        <v>2</v>
      </c>
      <c r="L158">
        <v>0</v>
      </c>
      <c r="M158" s="1" t="s">
        <v>30</v>
      </c>
      <c r="N158">
        <v>6</v>
      </c>
      <c r="O158">
        <v>1</v>
      </c>
      <c r="P158">
        <v>0</v>
      </c>
      <c r="Q158" s="1" t="s">
        <v>31</v>
      </c>
    </row>
    <row r="159" spans="1:17" x14ac:dyDescent="0.3">
      <c r="A159">
        <v>1158</v>
      </c>
      <c r="B159">
        <v>73</v>
      </c>
      <c r="C159" s="1" t="s">
        <v>14</v>
      </c>
      <c r="D159" s="1" t="s">
        <v>16</v>
      </c>
      <c r="E159" s="5">
        <v>45084</v>
      </c>
      <c r="F159">
        <v>7</v>
      </c>
      <c r="G159">
        <v>0</v>
      </c>
      <c r="H159">
        <v>1</v>
      </c>
      <c r="I159">
        <v>200</v>
      </c>
      <c r="J159">
        <v>107</v>
      </c>
      <c r="K159">
        <v>8</v>
      </c>
      <c r="L159">
        <v>0</v>
      </c>
      <c r="M159" s="1" t="s">
        <v>25</v>
      </c>
      <c r="N159">
        <v>1</v>
      </c>
      <c r="O159">
        <v>0</v>
      </c>
      <c r="P159">
        <v>1</v>
      </c>
      <c r="Q159" s="1" t="s">
        <v>29</v>
      </c>
    </row>
    <row r="160" spans="1:17" x14ac:dyDescent="0.3">
      <c r="A160">
        <v>1159</v>
      </c>
      <c r="B160">
        <v>20</v>
      </c>
      <c r="C160" s="1" t="s">
        <v>14</v>
      </c>
      <c r="D160" s="1" t="s">
        <v>15</v>
      </c>
      <c r="E160" s="5">
        <v>45085</v>
      </c>
      <c r="F160">
        <v>1</v>
      </c>
      <c r="G160">
        <v>4</v>
      </c>
      <c r="H160">
        <v>1</v>
      </c>
      <c r="I160">
        <v>87</v>
      </c>
      <c r="J160">
        <v>108</v>
      </c>
      <c r="K160">
        <v>11</v>
      </c>
      <c r="L160">
        <v>1</v>
      </c>
      <c r="M160" s="1" t="s">
        <v>30</v>
      </c>
      <c r="N160">
        <v>5</v>
      </c>
      <c r="O160">
        <v>0</v>
      </c>
      <c r="P160">
        <v>0</v>
      </c>
      <c r="Q160" s="1" t="s">
        <v>31</v>
      </c>
    </row>
    <row r="161" spans="1:17" x14ac:dyDescent="0.3">
      <c r="A161">
        <v>1160</v>
      </c>
      <c r="B161">
        <v>38</v>
      </c>
      <c r="C161" s="1" t="s">
        <v>14</v>
      </c>
      <c r="D161" s="1" t="s">
        <v>15</v>
      </c>
      <c r="E161" s="5">
        <v>45086</v>
      </c>
      <c r="F161">
        <v>9</v>
      </c>
      <c r="G161">
        <v>1</v>
      </c>
      <c r="H161">
        <v>2</v>
      </c>
      <c r="I161">
        <v>109</v>
      </c>
      <c r="J161">
        <v>125</v>
      </c>
      <c r="K161">
        <v>6</v>
      </c>
      <c r="L161">
        <v>0</v>
      </c>
      <c r="M161" s="1" t="s">
        <v>27</v>
      </c>
      <c r="N161">
        <v>3</v>
      </c>
      <c r="O161">
        <v>0</v>
      </c>
      <c r="P161">
        <v>0</v>
      </c>
      <c r="Q161" s="1" t="s">
        <v>26</v>
      </c>
    </row>
    <row r="162" spans="1:17" x14ac:dyDescent="0.3">
      <c r="A162">
        <v>1161</v>
      </c>
      <c r="B162">
        <v>21</v>
      </c>
      <c r="C162" s="1" t="s">
        <v>12</v>
      </c>
      <c r="D162" s="1" t="s">
        <v>17</v>
      </c>
      <c r="E162" s="5">
        <v>45087</v>
      </c>
      <c r="F162">
        <v>1</v>
      </c>
      <c r="G162">
        <v>4</v>
      </c>
      <c r="H162">
        <v>4</v>
      </c>
      <c r="I162">
        <v>90</v>
      </c>
      <c r="J162">
        <v>163</v>
      </c>
      <c r="K162">
        <v>8</v>
      </c>
      <c r="L162">
        <v>0</v>
      </c>
      <c r="M162" s="1" t="s">
        <v>30</v>
      </c>
      <c r="N162">
        <v>8</v>
      </c>
      <c r="O162">
        <v>1</v>
      </c>
      <c r="P162">
        <v>0</v>
      </c>
      <c r="Q162" s="1" t="s">
        <v>31</v>
      </c>
    </row>
    <row r="163" spans="1:17" x14ac:dyDescent="0.3">
      <c r="A163">
        <v>1162</v>
      </c>
      <c r="B163">
        <v>72</v>
      </c>
      <c r="C163" s="1" t="s">
        <v>14</v>
      </c>
      <c r="D163" s="1" t="s">
        <v>18</v>
      </c>
      <c r="E163" s="5">
        <v>45088</v>
      </c>
      <c r="F163">
        <v>1</v>
      </c>
      <c r="G163">
        <v>0</v>
      </c>
      <c r="H163">
        <v>5</v>
      </c>
      <c r="I163">
        <v>212</v>
      </c>
      <c r="J163">
        <v>144</v>
      </c>
      <c r="K163">
        <v>1</v>
      </c>
      <c r="L163">
        <v>0</v>
      </c>
      <c r="M163" s="1" t="s">
        <v>25</v>
      </c>
      <c r="N163">
        <v>5</v>
      </c>
      <c r="O163">
        <v>1</v>
      </c>
      <c r="P163">
        <v>1</v>
      </c>
      <c r="Q163" s="1" t="s">
        <v>31</v>
      </c>
    </row>
    <row r="164" spans="1:17" x14ac:dyDescent="0.3">
      <c r="A164">
        <v>1163</v>
      </c>
      <c r="B164">
        <v>63</v>
      </c>
      <c r="C164" s="1" t="s">
        <v>12</v>
      </c>
      <c r="D164" s="1" t="s">
        <v>18</v>
      </c>
      <c r="E164" s="5">
        <v>45089</v>
      </c>
      <c r="F164">
        <v>7</v>
      </c>
      <c r="G164">
        <v>1</v>
      </c>
      <c r="H164">
        <v>1</v>
      </c>
      <c r="I164">
        <v>168</v>
      </c>
      <c r="J164">
        <v>158</v>
      </c>
      <c r="K164">
        <v>1</v>
      </c>
      <c r="L164">
        <v>0</v>
      </c>
      <c r="M164" s="1" t="s">
        <v>25</v>
      </c>
      <c r="N164">
        <v>2</v>
      </c>
      <c r="O164">
        <v>1</v>
      </c>
      <c r="P164">
        <v>0</v>
      </c>
      <c r="Q164" s="1" t="s">
        <v>29</v>
      </c>
    </row>
    <row r="165" spans="1:17" x14ac:dyDescent="0.3">
      <c r="A165">
        <v>1164</v>
      </c>
      <c r="B165">
        <v>51</v>
      </c>
      <c r="C165" s="1" t="s">
        <v>14</v>
      </c>
      <c r="D165" s="1" t="s">
        <v>13</v>
      </c>
      <c r="E165" s="5">
        <v>45090</v>
      </c>
      <c r="F165">
        <v>2</v>
      </c>
      <c r="G165">
        <v>4</v>
      </c>
      <c r="H165">
        <v>3</v>
      </c>
      <c r="I165">
        <v>95</v>
      </c>
      <c r="J165">
        <v>136</v>
      </c>
      <c r="K165">
        <v>7</v>
      </c>
      <c r="L165">
        <v>0</v>
      </c>
      <c r="M165" s="1" t="s">
        <v>32</v>
      </c>
      <c r="N165">
        <v>7</v>
      </c>
      <c r="O165">
        <v>0</v>
      </c>
      <c r="P165">
        <v>0</v>
      </c>
      <c r="Q165" s="1" t="s">
        <v>31</v>
      </c>
    </row>
    <row r="166" spans="1:17" x14ac:dyDescent="0.3">
      <c r="A166">
        <v>1165</v>
      </c>
      <c r="B166">
        <v>89</v>
      </c>
      <c r="C166" s="1" t="s">
        <v>14</v>
      </c>
      <c r="D166" s="1" t="s">
        <v>17</v>
      </c>
      <c r="E166" s="5">
        <v>45091</v>
      </c>
      <c r="F166">
        <v>14</v>
      </c>
      <c r="G166">
        <v>3</v>
      </c>
      <c r="H166">
        <v>1</v>
      </c>
      <c r="I166">
        <v>77</v>
      </c>
      <c r="J166">
        <v>138</v>
      </c>
      <c r="K166">
        <v>8</v>
      </c>
      <c r="L166">
        <v>1</v>
      </c>
      <c r="M166" s="1" t="s">
        <v>25</v>
      </c>
      <c r="N166">
        <v>4</v>
      </c>
      <c r="O166">
        <v>0</v>
      </c>
      <c r="P166">
        <v>0</v>
      </c>
      <c r="Q166" s="1" t="s">
        <v>26</v>
      </c>
    </row>
    <row r="167" spans="1:17" x14ac:dyDescent="0.3">
      <c r="A167">
        <v>1166</v>
      </c>
      <c r="B167">
        <v>51</v>
      </c>
      <c r="C167" s="1" t="s">
        <v>14</v>
      </c>
      <c r="D167" s="1" t="s">
        <v>13</v>
      </c>
      <c r="E167" s="5">
        <v>45092</v>
      </c>
      <c r="F167">
        <v>5</v>
      </c>
      <c r="G167">
        <v>1</v>
      </c>
      <c r="H167">
        <v>5</v>
      </c>
      <c r="I167">
        <v>169</v>
      </c>
      <c r="J167">
        <v>122</v>
      </c>
      <c r="K167">
        <v>3</v>
      </c>
      <c r="L167">
        <v>0</v>
      </c>
      <c r="M167" s="1" t="s">
        <v>32</v>
      </c>
      <c r="N167">
        <v>6</v>
      </c>
      <c r="O167">
        <v>0</v>
      </c>
      <c r="P167">
        <v>0</v>
      </c>
      <c r="Q167" s="1" t="s">
        <v>29</v>
      </c>
    </row>
    <row r="168" spans="1:17" x14ac:dyDescent="0.3">
      <c r="A168">
        <v>1167</v>
      </c>
      <c r="B168">
        <v>87</v>
      </c>
      <c r="C168" s="1" t="s">
        <v>12</v>
      </c>
      <c r="D168" s="1" t="s">
        <v>13</v>
      </c>
      <c r="E168" s="5">
        <v>45093</v>
      </c>
      <c r="F168">
        <v>8</v>
      </c>
      <c r="G168">
        <v>1</v>
      </c>
      <c r="H168">
        <v>4</v>
      </c>
      <c r="I168">
        <v>156</v>
      </c>
      <c r="J168">
        <v>110</v>
      </c>
      <c r="K168">
        <v>5</v>
      </c>
      <c r="L168">
        <v>1</v>
      </c>
      <c r="M168" s="1" t="s">
        <v>25</v>
      </c>
      <c r="N168">
        <v>5</v>
      </c>
      <c r="O168">
        <v>0</v>
      </c>
      <c r="P168">
        <v>0</v>
      </c>
      <c r="Q168" s="1" t="s">
        <v>26</v>
      </c>
    </row>
    <row r="169" spans="1:17" x14ac:dyDescent="0.3">
      <c r="A169">
        <v>1168</v>
      </c>
      <c r="B169">
        <v>74</v>
      </c>
      <c r="C169" s="1" t="s">
        <v>14</v>
      </c>
      <c r="D169" s="1" t="s">
        <v>13</v>
      </c>
      <c r="E169" s="5">
        <v>45094</v>
      </c>
      <c r="F169">
        <v>8</v>
      </c>
      <c r="G169">
        <v>3</v>
      </c>
      <c r="H169">
        <v>4</v>
      </c>
      <c r="I169">
        <v>111</v>
      </c>
      <c r="J169">
        <v>170</v>
      </c>
      <c r="K169">
        <v>1</v>
      </c>
      <c r="L169">
        <v>0</v>
      </c>
      <c r="M169" s="1" t="s">
        <v>25</v>
      </c>
      <c r="N169">
        <v>7</v>
      </c>
      <c r="O169">
        <v>1</v>
      </c>
      <c r="P169">
        <v>0</v>
      </c>
      <c r="Q169" s="1" t="s">
        <v>26</v>
      </c>
    </row>
    <row r="170" spans="1:17" x14ac:dyDescent="0.3">
      <c r="A170">
        <v>1169</v>
      </c>
      <c r="B170">
        <v>75</v>
      </c>
      <c r="C170" s="1" t="s">
        <v>14</v>
      </c>
      <c r="D170" s="1" t="s">
        <v>16</v>
      </c>
      <c r="E170" s="5">
        <v>45095</v>
      </c>
      <c r="F170">
        <v>3</v>
      </c>
      <c r="G170">
        <v>2</v>
      </c>
      <c r="H170">
        <v>3</v>
      </c>
      <c r="I170">
        <v>241</v>
      </c>
      <c r="J170">
        <v>111</v>
      </c>
      <c r="K170">
        <v>7</v>
      </c>
      <c r="L170">
        <v>1</v>
      </c>
      <c r="M170" s="1" t="s">
        <v>25</v>
      </c>
      <c r="N170">
        <v>5</v>
      </c>
      <c r="O170">
        <v>0</v>
      </c>
      <c r="P170">
        <v>1</v>
      </c>
      <c r="Q170" s="1" t="s">
        <v>31</v>
      </c>
    </row>
    <row r="171" spans="1:17" x14ac:dyDescent="0.3">
      <c r="A171">
        <v>1170</v>
      </c>
      <c r="B171">
        <v>36</v>
      </c>
      <c r="C171" s="1" t="s">
        <v>14</v>
      </c>
      <c r="D171" s="1" t="s">
        <v>16</v>
      </c>
      <c r="E171" s="5">
        <v>45096</v>
      </c>
      <c r="F171">
        <v>7</v>
      </c>
      <c r="G171">
        <v>0</v>
      </c>
      <c r="H171">
        <v>1</v>
      </c>
      <c r="I171">
        <v>83</v>
      </c>
      <c r="J171">
        <v>137</v>
      </c>
      <c r="K171">
        <v>5</v>
      </c>
      <c r="L171">
        <v>0</v>
      </c>
      <c r="M171" s="1" t="s">
        <v>27</v>
      </c>
      <c r="N171">
        <v>1</v>
      </c>
      <c r="O171">
        <v>0</v>
      </c>
      <c r="P171">
        <v>0</v>
      </c>
      <c r="Q171" s="1" t="s">
        <v>29</v>
      </c>
    </row>
    <row r="172" spans="1:17" x14ac:dyDescent="0.3">
      <c r="A172">
        <v>1171</v>
      </c>
      <c r="B172">
        <v>57</v>
      </c>
      <c r="C172" s="1" t="s">
        <v>14</v>
      </c>
      <c r="D172" s="1" t="s">
        <v>13</v>
      </c>
      <c r="E172" s="5">
        <v>45097</v>
      </c>
      <c r="F172">
        <v>3</v>
      </c>
      <c r="G172">
        <v>2</v>
      </c>
      <c r="H172">
        <v>4</v>
      </c>
      <c r="I172">
        <v>147</v>
      </c>
      <c r="J172">
        <v>126</v>
      </c>
      <c r="K172">
        <v>8</v>
      </c>
      <c r="L172">
        <v>0</v>
      </c>
      <c r="M172" s="1" t="s">
        <v>32</v>
      </c>
      <c r="N172">
        <v>6</v>
      </c>
      <c r="O172">
        <v>0</v>
      </c>
      <c r="P172">
        <v>0</v>
      </c>
      <c r="Q172" s="1" t="s">
        <v>31</v>
      </c>
    </row>
    <row r="173" spans="1:17" x14ac:dyDescent="0.3">
      <c r="A173">
        <v>1172</v>
      </c>
      <c r="B173">
        <v>43</v>
      </c>
      <c r="C173" s="1" t="s">
        <v>12</v>
      </c>
      <c r="D173" s="1" t="s">
        <v>17</v>
      </c>
      <c r="E173" s="5">
        <v>45098</v>
      </c>
      <c r="F173">
        <v>6</v>
      </c>
      <c r="G173">
        <v>4</v>
      </c>
      <c r="H173">
        <v>5</v>
      </c>
      <c r="I173">
        <v>71</v>
      </c>
      <c r="J173">
        <v>104</v>
      </c>
      <c r="K173">
        <v>8</v>
      </c>
      <c r="L173">
        <v>1</v>
      </c>
      <c r="M173" s="1" t="s">
        <v>27</v>
      </c>
      <c r="N173">
        <v>9</v>
      </c>
      <c r="O173">
        <v>0</v>
      </c>
      <c r="P173">
        <v>0</v>
      </c>
      <c r="Q173" s="1" t="s">
        <v>29</v>
      </c>
    </row>
    <row r="174" spans="1:17" x14ac:dyDescent="0.3">
      <c r="A174">
        <v>1173</v>
      </c>
      <c r="B174">
        <v>88</v>
      </c>
      <c r="C174" s="1" t="s">
        <v>14</v>
      </c>
      <c r="D174" s="1" t="s">
        <v>18</v>
      </c>
      <c r="E174" s="5">
        <v>45099</v>
      </c>
      <c r="F174">
        <v>6</v>
      </c>
      <c r="G174">
        <v>3</v>
      </c>
      <c r="H174">
        <v>2</v>
      </c>
      <c r="I174">
        <v>188</v>
      </c>
      <c r="J174">
        <v>124</v>
      </c>
      <c r="K174">
        <v>9</v>
      </c>
      <c r="L174">
        <v>1</v>
      </c>
      <c r="M174" s="1" t="s">
        <v>25</v>
      </c>
      <c r="N174">
        <v>5</v>
      </c>
      <c r="O174">
        <v>0</v>
      </c>
      <c r="P174">
        <v>1</v>
      </c>
      <c r="Q174" s="1" t="s">
        <v>29</v>
      </c>
    </row>
    <row r="175" spans="1:17" x14ac:dyDescent="0.3">
      <c r="A175">
        <v>1174</v>
      </c>
      <c r="B175">
        <v>89</v>
      </c>
      <c r="C175" s="1" t="s">
        <v>12</v>
      </c>
      <c r="D175" s="1" t="s">
        <v>17</v>
      </c>
      <c r="E175" s="5">
        <v>45100</v>
      </c>
      <c r="F175">
        <v>3</v>
      </c>
      <c r="G175">
        <v>2</v>
      </c>
      <c r="H175">
        <v>0</v>
      </c>
      <c r="I175">
        <v>106</v>
      </c>
      <c r="J175">
        <v>160</v>
      </c>
      <c r="K175">
        <v>7</v>
      </c>
      <c r="L175">
        <v>0</v>
      </c>
      <c r="M175" s="1" t="s">
        <v>25</v>
      </c>
      <c r="N175">
        <v>2</v>
      </c>
      <c r="O175">
        <v>1</v>
      </c>
      <c r="P175">
        <v>0</v>
      </c>
      <c r="Q175" s="1" t="s">
        <v>31</v>
      </c>
    </row>
    <row r="176" spans="1:17" x14ac:dyDescent="0.3">
      <c r="A176">
        <v>1175</v>
      </c>
      <c r="B176">
        <v>30</v>
      </c>
      <c r="C176" s="1" t="s">
        <v>12</v>
      </c>
      <c r="D176" s="1" t="s">
        <v>15</v>
      </c>
      <c r="E176" s="5">
        <v>45101</v>
      </c>
      <c r="F176">
        <v>7</v>
      </c>
      <c r="G176">
        <v>1</v>
      </c>
      <c r="H176">
        <v>0</v>
      </c>
      <c r="I176">
        <v>138</v>
      </c>
      <c r="J176">
        <v>121</v>
      </c>
      <c r="K176">
        <v>11</v>
      </c>
      <c r="L176">
        <v>0</v>
      </c>
      <c r="M176" s="1" t="s">
        <v>27</v>
      </c>
      <c r="N176">
        <v>1</v>
      </c>
      <c r="O176">
        <v>0</v>
      </c>
      <c r="P176">
        <v>0</v>
      </c>
      <c r="Q176" s="1" t="s">
        <v>29</v>
      </c>
    </row>
    <row r="177" spans="1:17" x14ac:dyDescent="0.3">
      <c r="A177">
        <v>1176</v>
      </c>
      <c r="B177">
        <v>35</v>
      </c>
      <c r="C177" s="1" t="s">
        <v>12</v>
      </c>
      <c r="D177" s="1" t="s">
        <v>16</v>
      </c>
      <c r="E177" s="5">
        <v>45102</v>
      </c>
      <c r="F177">
        <v>3</v>
      </c>
      <c r="G177">
        <v>4</v>
      </c>
      <c r="H177">
        <v>0</v>
      </c>
      <c r="I177">
        <v>235</v>
      </c>
      <c r="J177">
        <v>100</v>
      </c>
      <c r="K177">
        <v>1</v>
      </c>
      <c r="L177">
        <v>1</v>
      </c>
      <c r="M177" s="1" t="s">
        <v>27</v>
      </c>
      <c r="N177">
        <v>4</v>
      </c>
      <c r="O177">
        <v>0</v>
      </c>
      <c r="P177">
        <v>1</v>
      </c>
      <c r="Q177" s="1" t="s">
        <v>31</v>
      </c>
    </row>
    <row r="178" spans="1:17" x14ac:dyDescent="0.3">
      <c r="A178">
        <v>1177</v>
      </c>
      <c r="B178">
        <v>78</v>
      </c>
      <c r="C178" s="1" t="s">
        <v>12</v>
      </c>
      <c r="D178" s="1" t="s">
        <v>18</v>
      </c>
      <c r="E178" s="5">
        <v>45103</v>
      </c>
      <c r="F178">
        <v>8</v>
      </c>
      <c r="G178">
        <v>4</v>
      </c>
      <c r="H178">
        <v>1</v>
      </c>
      <c r="I178">
        <v>110</v>
      </c>
      <c r="J178">
        <v>99</v>
      </c>
      <c r="K178">
        <v>3</v>
      </c>
      <c r="L178">
        <v>0</v>
      </c>
      <c r="M178" s="1" t="s">
        <v>25</v>
      </c>
      <c r="N178">
        <v>5</v>
      </c>
      <c r="O178">
        <v>0</v>
      </c>
      <c r="P178">
        <v>0</v>
      </c>
      <c r="Q178" s="1" t="s">
        <v>26</v>
      </c>
    </row>
    <row r="179" spans="1:17" x14ac:dyDescent="0.3">
      <c r="A179">
        <v>1178</v>
      </c>
      <c r="B179">
        <v>89</v>
      </c>
      <c r="C179" s="1" t="s">
        <v>12</v>
      </c>
      <c r="D179" s="1" t="s">
        <v>18</v>
      </c>
      <c r="E179" s="5">
        <v>45104</v>
      </c>
      <c r="F179">
        <v>10</v>
      </c>
      <c r="G179">
        <v>2</v>
      </c>
      <c r="H179">
        <v>3</v>
      </c>
      <c r="I179">
        <v>131</v>
      </c>
      <c r="J179">
        <v>162</v>
      </c>
      <c r="K179">
        <v>8</v>
      </c>
      <c r="L179">
        <v>1</v>
      </c>
      <c r="M179" s="1" t="s">
        <v>25</v>
      </c>
      <c r="N179">
        <v>5</v>
      </c>
      <c r="O179">
        <v>1</v>
      </c>
      <c r="P179">
        <v>0</v>
      </c>
      <c r="Q179" s="1" t="s">
        <v>26</v>
      </c>
    </row>
    <row r="180" spans="1:17" x14ac:dyDescent="0.3">
      <c r="A180">
        <v>1179</v>
      </c>
      <c r="B180">
        <v>22</v>
      </c>
      <c r="C180" s="1" t="s">
        <v>12</v>
      </c>
      <c r="D180" s="1" t="s">
        <v>15</v>
      </c>
      <c r="E180" s="5">
        <v>45105</v>
      </c>
      <c r="F180">
        <v>4</v>
      </c>
      <c r="G180">
        <v>2</v>
      </c>
      <c r="H180">
        <v>4</v>
      </c>
      <c r="I180">
        <v>129</v>
      </c>
      <c r="J180">
        <v>167</v>
      </c>
      <c r="K180">
        <v>3</v>
      </c>
      <c r="L180">
        <v>1</v>
      </c>
      <c r="M180" s="1" t="s">
        <v>30</v>
      </c>
      <c r="N180">
        <v>6</v>
      </c>
      <c r="O180">
        <v>1</v>
      </c>
      <c r="P180">
        <v>0</v>
      </c>
      <c r="Q180" s="1" t="s">
        <v>29</v>
      </c>
    </row>
    <row r="181" spans="1:17" x14ac:dyDescent="0.3">
      <c r="A181">
        <v>1180</v>
      </c>
      <c r="B181">
        <v>39</v>
      </c>
      <c r="C181" s="1" t="s">
        <v>14</v>
      </c>
      <c r="D181" s="1" t="s">
        <v>15</v>
      </c>
      <c r="E181" s="5">
        <v>45106</v>
      </c>
      <c r="F181">
        <v>13</v>
      </c>
      <c r="G181">
        <v>3</v>
      </c>
      <c r="H181">
        <v>2</v>
      </c>
      <c r="I181">
        <v>194</v>
      </c>
      <c r="J181">
        <v>166</v>
      </c>
      <c r="K181">
        <v>8</v>
      </c>
      <c r="L181">
        <v>0</v>
      </c>
      <c r="M181" s="1" t="s">
        <v>27</v>
      </c>
      <c r="N181">
        <v>5</v>
      </c>
      <c r="O181">
        <v>1</v>
      </c>
      <c r="P181">
        <v>1</v>
      </c>
      <c r="Q181" s="1" t="s">
        <v>26</v>
      </c>
    </row>
    <row r="182" spans="1:17" x14ac:dyDescent="0.3">
      <c r="A182">
        <v>1181</v>
      </c>
      <c r="B182">
        <v>78</v>
      </c>
      <c r="C182" s="1" t="s">
        <v>12</v>
      </c>
      <c r="D182" s="1" t="s">
        <v>13</v>
      </c>
      <c r="E182" s="5">
        <v>45107</v>
      </c>
      <c r="F182">
        <v>1</v>
      </c>
      <c r="G182">
        <v>0</v>
      </c>
      <c r="H182">
        <v>5</v>
      </c>
      <c r="I182">
        <v>180</v>
      </c>
      <c r="J182">
        <v>146</v>
      </c>
      <c r="K182">
        <v>1</v>
      </c>
      <c r="L182">
        <v>0</v>
      </c>
      <c r="M182" s="1" t="s">
        <v>25</v>
      </c>
      <c r="N182">
        <v>5</v>
      </c>
      <c r="O182">
        <v>1</v>
      </c>
      <c r="P182">
        <v>1</v>
      </c>
      <c r="Q182" s="1" t="s">
        <v>31</v>
      </c>
    </row>
    <row r="183" spans="1:17" x14ac:dyDescent="0.3">
      <c r="A183">
        <v>1182</v>
      </c>
      <c r="B183">
        <v>55</v>
      </c>
      <c r="C183" s="1" t="s">
        <v>12</v>
      </c>
      <c r="D183" s="1" t="s">
        <v>16</v>
      </c>
      <c r="E183" s="5">
        <v>45108</v>
      </c>
      <c r="F183">
        <v>4</v>
      </c>
      <c r="G183">
        <v>2</v>
      </c>
      <c r="H183">
        <v>2</v>
      </c>
      <c r="I183">
        <v>83</v>
      </c>
      <c r="J183">
        <v>114</v>
      </c>
      <c r="K183">
        <v>5</v>
      </c>
      <c r="L183">
        <v>0</v>
      </c>
      <c r="M183" s="1" t="s">
        <v>32</v>
      </c>
      <c r="N183">
        <v>4</v>
      </c>
      <c r="O183">
        <v>0</v>
      </c>
      <c r="P183">
        <v>0</v>
      </c>
      <c r="Q183" s="1" t="s">
        <v>29</v>
      </c>
    </row>
    <row r="184" spans="1:17" x14ac:dyDescent="0.3">
      <c r="A184">
        <v>1183</v>
      </c>
      <c r="B184">
        <v>38</v>
      </c>
      <c r="C184" s="1" t="s">
        <v>12</v>
      </c>
      <c r="D184" s="1" t="s">
        <v>16</v>
      </c>
      <c r="E184" s="5">
        <v>45109</v>
      </c>
      <c r="F184">
        <v>14</v>
      </c>
      <c r="G184">
        <v>2</v>
      </c>
      <c r="H184">
        <v>5</v>
      </c>
      <c r="I184">
        <v>153</v>
      </c>
      <c r="J184">
        <v>91</v>
      </c>
      <c r="K184">
        <v>4</v>
      </c>
      <c r="L184">
        <v>0</v>
      </c>
      <c r="M184" s="1" t="s">
        <v>27</v>
      </c>
      <c r="N184">
        <v>7</v>
      </c>
      <c r="O184">
        <v>0</v>
      </c>
      <c r="P184">
        <v>0</v>
      </c>
      <c r="Q184" s="1" t="s">
        <v>26</v>
      </c>
    </row>
    <row r="185" spans="1:17" x14ac:dyDescent="0.3">
      <c r="A185">
        <v>1184</v>
      </c>
      <c r="B185">
        <v>86</v>
      </c>
      <c r="C185" s="1" t="s">
        <v>14</v>
      </c>
      <c r="D185" s="1" t="s">
        <v>17</v>
      </c>
      <c r="E185" s="5">
        <v>45110</v>
      </c>
      <c r="F185">
        <v>7</v>
      </c>
      <c r="G185">
        <v>1</v>
      </c>
      <c r="H185">
        <v>1</v>
      </c>
      <c r="I185">
        <v>199</v>
      </c>
      <c r="J185">
        <v>153</v>
      </c>
      <c r="K185">
        <v>5</v>
      </c>
      <c r="L185">
        <v>0</v>
      </c>
      <c r="M185" s="1" t="s">
        <v>25</v>
      </c>
      <c r="N185">
        <v>2</v>
      </c>
      <c r="O185">
        <v>1</v>
      </c>
      <c r="P185">
        <v>1</v>
      </c>
      <c r="Q185" s="1" t="s">
        <v>29</v>
      </c>
    </row>
    <row r="186" spans="1:17" x14ac:dyDescent="0.3">
      <c r="A186">
        <v>1185</v>
      </c>
      <c r="B186">
        <v>38</v>
      </c>
      <c r="C186" s="1" t="s">
        <v>14</v>
      </c>
      <c r="D186" s="1" t="s">
        <v>13</v>
      </c>
      <c r="E186" s="5">
        <v>45111</v>
      </c>
      <c r="F186">
        <v>11</v>
      </c>
      <c r="G186">
        <v>4</v>
      </c>
      <c r="H186">
        <v>0</v>
      </c>
      <c r="I186">
        <v>139</v>
      </c>
      <c r="J186">
        <v>124</v>
      </c>
      <c r="K186">
        <v>8</v>
      </c>
      <c r="L186">
        <v>1</v>
      </c>
      <c r="M186" s="1" t="s">
        <v>27</v>
      </c>
      <c r="N186">
        <v>4</v>
      </c>
      <c r="O186">
        <v>0</v>
      </c>
      <c r="P186">
        <v>0</v>
      </c>
      <c r="Q186" s="1" t="s">
        <v>26</v>
      </c>
    </row>
    <row r="187" spans="1:17" x14ac:dyDescent="0.3">
      <c r="A187">
        <v>1186</v>
      </c>
      <c r="B187">
        <v>39</v>
      </c>
      <c r="C187" s="1" t="s">
        <v>12</v>
      </c>
      <c r="D187" s="1" t="s">
        <v>13</v>
      </c>
      <c r="E187" s="5">
        <v>45112</v>
      </c>
      <c r="F187">
        <v>4</v>
      </c>
      <c r="G187">
        <v>0</v>
      </c>
      <c r="H187">
        <v>1</v>
      </c>
      <c r="I187">
        <v>214</v>
      </c>
      <c r="J187">
        <v>96</v>
      </c>
      <c r="K187">
        <v>10</v>
      </c>
      <c r="L187">
        <v>0</v>
      </c>
      <c r="M187" s="1" t="s">
        <v>27</v>
      </c>
      <c r="N187">
        <v>1</v>
      </c>
      <c r="O187">
        <v>0</v>
      </c>
      <c r="P187">
        <v>1</v>
      </c>
      <c r="Q187" s="1" t="s">
        <v>29</v>
      </c>
    </row>
    <row r="188" spans="1:17" x14ac:dyDescent="0.3">
      <c r="A188">
        <v>1187</v>
      </c>
      <c r="B188">
        <v>71</v>
      </c>
      <c r="C188" s="1" t="s">
        <v>14</v>
      </c>
      <c r="D188" s="1" t="s">
        <v>13</v>
      </c>
      <c r="E188" s="5">
        <v>45113</v>
      </c>
      <c r="F188">
        <v>13</v>
      </c>
      <c r="G188">
        <v>1</v>
      </c>
      <c r="H188">
        <v>3</v>
      </c>
      <c r="I188">
        <v>192</v>
      </c>
      <c r="J188">
        <v>174</v>
      </c>
      <c r="K188">
        <v>4</v>
      </c>
      <c r="L188">
        <v>1</v>
      </c>
      <c r="M188" s="1" t="s">
        <v>25</v>
      </c>
      <c r="N188">
        <v>4</v>
      </c>
      <c r="O188">
        <v>1</v>
      </c>
      <c r="P188">
        <v>1</v>
      </c>
      <c r="Q188" s="1" t="s">
        <v>26</v>
      </c>
    </row>
    <row r="189" spans="1:17" x14ac:dyDescent="0.3">
      <c r="A189">
        <v>1188</v>
      </c>
      <c r="B189">
        <v>52</v>
      </c>
      <c r="C189" s="1" t="s">
        <v>12</v>
      </c>
      <c r="D189" s="1" t="s">
        <v>13</v>
      </c>
      <c r="E189" s="5">
        <v>45114</v>
      </c>
      <c r="F189">
        <v>6</v>
      </c>
      <c r="G189">
        <v>3</v>
      </c>
      <c r="H189">
        <v>3</v>
      </c>
      <c r="I189">
        <v>158</v>
      </c>
      <c r="J189">
        <v>107</v>
      </c>
      <c r="K189">
        <v>11</v>
      </c>
      <c r="L189">
        <v>0</v>
      </c>
      <c r="M189" s="1" t="s">
        <v>32</v>
      </c>
      <c r="N189">
        <v>6</v>
      </c>
      <c r="O189">
        <v>0</v>
      </c>
      <c r="P189">
        <v>0</v>
      </c>
      <c r="Q189" s="1" t="s">
        <v>29</v>
      </c>
    </row>
    <row r="190" spans="1:17" x14ac:dyDescent="0.3">
      <c r="A190">
        <v>1189</v>
      </c>
      <c r="B190">
        <v>59</v>
      </c>
      <c r="C190" s="1" t="s">
        <v>12</v>
      </c>
      <c r="D190" s="1" t="s">
        <v>16</v>
      </c>
      <c r="E190" s="5">
        <v>45115</v>
      </c>
      <c r="F190">
        <v>9</v>
      </c>
      <c r="G190">
        <v>3</v>
      </c>
      <c r="H190">
        <v>5</v>
      </c>
      <c r="I190">
        <v>97</v>
      </c>
      <c r="J190">
        <v>156</v>
      </c>
      <c r="K190">
        <v>4</v>
      </c>
      <c r="L190">
        <v>0</v>
      </c>
      <c r="M190" s="1" t="s">
        <v>32</v>
      </c>
      <c r="N190">
        <v>8</v>
      </c>
      <c r="O190">
        <v>1</v>
      </c>
      <c r="P190">
        <v>0</v>
      </c>
      <c r="Q190" s="1" t="s">
        <v>26</v>
      </c>
    </row>
    <row r="191" spans="1:17" x14ac:dyDescent="0.3">
      <c r="A191">
        <v>1190</v>
      </c>
      <c r="B191">
        <v>58</v>
      </c>
      <c r="C191" s="1" t="s">
        <v>14</v>
      </c>
      <c r="D191" s="1" t="s">
        <v>16</v>
      </c>
      <c r="E191" s="5">
        <v>45116</v>
      </c>
      <c r="F191">
        <v>1</v>
      </c>
      <c r="G191">
        <v>2</v>
      </c>
      <c r="H191">
        <v>4</v>
      </c>
      <c r="I191">
        <v>135</v>
      </c>
      <c r="J191">
        <v>131</v>
      </c>
      <c r="K191">
        <v>3</v>
      </c>
      <c r="L191">
        <v>0</v>
      </c>
      <c r="M191" s="1" t="s">
        <v>32</v>
      </c>
      <c r="N191">
        <v>6</v>
      </c>
      <c r="O191">
        <v>0</v>
      </c>
      <c r="P191">
        <v>0</v>
      </c>
      <c r="Q191" s="1" t="s">
        <v>31</v>
      </c>
    </row>
    <row r="192" spans="1:17" x14ac:dyDescent="0.3">
      <c r="A192">
        <v>1191</v>
      </c>
      <c r="B192">
        <v>20</v>
      </c>
      <c r="C192" s="1" t="s">
        <v>12</v>
      </c>
      <c r="D192" s="1" t="s">
        <v>13</v>
      </c>
      <c r="E192" s="5">
        <v>45117</v>
      </c>
      <c r="F192">
        <v>13</v>
      </c>
      <c r="G192">
        <v>2</v>
      </c>
      <c r="H192">
        <v>4</v>
      </c>
      <c r="I192">
        <v>232</v>
      </c>
      <c r="J192">
        <v>128</v>
      </c>
      <c r="K192">
        <v>7</v>
      </c>
      <c r="L192">
        <v>0</v>
      </c>
      <c r="M192" s="1" t="s">
        <v>30</v>
      </c>
      <c r="N192">
        <v>6</v>
      </c>
      <c r="O192">
        <v>0</v>
      </c>
      <c r="P192">
        <v>1</v>
      </c>
      <c r="Q192" s="1" t="s">
        <v>26</v>
      </c>
    </row>
    <row r="193" spans="1:17" x14ac:dyDescent="0.3">
      <c r="A193">
        <v>1192</v>
      </c>
      <c r="B193">
        <v>30</v>
      </c>
      <c r="C193" s="1" t="s">
        <v>14</v>
      </c>
      <c r="D193" s="1" t="s">
        <v>17</v>
      </c>
      <c r="E193" s="5">
        <v>45118</v>
      </c>
      <c r="F193">
        <v>5</v>
      </c>
      <c r="G193">
        <v>3</v>
      </c>
      <c r="H193">
        <v>5</v>
      </c>
      <c r="I193">
        <v>74</v>
      </c>
      <c r="J193">
        <v>130</v>
      </c>
      <c r="K193">
        <v>3</v>
      </c>
      <c r="L193">
        <v>0</v>
      </c>
      <c r="M193" s="1" t="s">
        <v>27</v>
      </c>
      <c r="N193">
        <v>8</v>
      </c>
      <c r="O193">
        <v>0</v>
      </c>
      <c r="P193">
        <v>0</v>
      </c>
      <c r="Q193" s="1" t="s">
        <v>29</v>
      </c>
    </row>
    <row r="194" spans="1:17" x14ac:dyDescent="0.3">
      <c r="A194">
        <v>1193</v>
      </c>
      <c r="B194">
        <v>76</v>
      </c>
      <c r="C194" s="1" t="s">
        <v>14</v>
      </c>
      <c r="D194" s="1" t="s">
        <v>18</v>
      </c>
      <c r="E194" s="5">
        <v>45119</v>
      </c>
      <c r="F194">
        <v>11</v>
      </c>
      <c r="G194">
        <v>2</v>
      </c>
      <c r="H194">
        <v>3</v>
      </c>
      <c r="I194">
        <v>237</v>
      </c>
      <c r="J194">
        <v>164</v>
      </c>
      <c r="K194">
        <v>3</v>
      </c>
      <c r="L194">
        <v>0</v>
      </c>
      <c r="M194" s="1" t="s">
        <v>25</v>
      </c>
      <c r="N194">
        <v>5</v>
      </c>
      <c r="O194">
        <v>1</v>
      </c>
      <c r="P194">
        <v>1</v>
      </c>
      <c r="Q194" s="1" t="s">
        <v>26</v>
      </c>
    </row>
    <row r="195" spans="1:17" x14ac:dyDescent="0.3">
      <c r="A195">
        <v>1194</v>
      </c>
      <c r="B195">
        <v>69</v>
      </c>
      <c r="C195" s="1" t="s">
        <v>12</v>
      </c>
      <c r="D195" s="1" t="s">
        <v>18</v>
      </c>
      <c r="E195" s="5">
        <v>45120</v>
      </c>
      <c r="F195">
        <v>7</v>
      </c>
      <c r="G195">
        <v>0</v>
      </c>
      <c r="H195">
        <v>3</v>
      </c>
      <c r="I195">
        <v>233</v>
      </c>
      <c r="J195">
        <v>113</v>
      </c>
      <c r="K195">
        <v>11</v>
      </c>
      <c r="L195">
        <v>1</v>
      </c>
      <c r="M195" s="1" t="s">
        <v>25</v>
      </c>
      <c r="N195">
        <v>3</v>
      </c>
      <c r="O195">
        <v>0</v>
      </c>
      <c r="P195">
        <v>1</v>
      </c>
      <c r="Q195" s="1" t="s">
        <v>29</v>
      </c>
    </row>
    <row r="196" spans="1:17" x14ac:dyDescent="0.3">
      <c r="A196">
        <v>1195</v>
      </c>
      <c r="B196">
        <v>42</v>
      </c>
      <c r="C196" s="1" t="s">
        <v>12</v>
      </c>
      <c r="D196" s="1" t="s">
        <v>17</v>
      </c>
      <c r="E196" s="5">
        <v>45121</v>
      </c>
      <c r="F196">
        <v>1</v>
      </c>
      <c r="G196">
        <v>2</v>
      </c>
      <c r="H196">
        <v>3</v>
      </c>
      <c r="I196">
        <v>114</v>
      </c>
      <c r="J196">
        <v>149</v>
      </c>
      <c r="K196">
        <v>10</v>
      </c>
      <c r="L196">
        <v>0</v>
      </c>
      <c r="M196" s="1" t="s">
        <v>27</v>
      </c>
      <c r="N196">
        <v>5</v>
      </c>
      <c r="O196">
        <v>1</v>
      </c>
      <c r="P196">
        <v>0</v>
      </c>
      <c r="Q196" s="1" t="s">
        <v>31</v>
      </c>
    </row>
    <row r="197" spans="1:17" x14ac:dyDescent="0.3">
      <c r="A197">
        <v>1196</v>
      </c>
      <c r="B197">
        <v>50</v>
      </c>
      <c r="C197" s="1" t="s">
        <v>14</v>
      </c>
      <c r="D197" s="1" t="s">
        <v>13</v>
      </c>
      <c r="E197" s="5">
        <v>45122</v>
      </c>
      <c r="F197">
        <v>14</v>
      </c>
      <c r="G197">
        <v>4</v>
      </c>
      <c r="H197">
        <v>1</v>
      </c>
      <c r="I197">
        <v>220</v>
      </c>
      <c r="J197">
        <v>135</v>
      </c>
      <c r="K197">
        <v>5</v>
      </c>
      <c r="L197">
        <v>0</v>
      </c>
      <c r="M197" s="1" t="s">
        <v>32</v>
      </c>
      <c r="N197">
        <v>5</v>
      </c>
      <c r="O197">
        <v>0</v>
      </c>
      <c r="P197">
        <v>1</v>
      </c>
      <c r="Q197" s="1" t="s">
        <v>26</v>
      </c>
    </row>
    <row r="198" spans="1:17" x14ac:dyDescent="0.3">
      <c r="A198">
        <v>1197</v>
      </c>
      <c r="B198">
        <v>61</v>
      </c>
      <c r="C198" s="1" t="s">
        <v>12</v>
      </c>
      <c r="D198" s="1" t="s">
        <v>16</v>
      </c>
      <c r="E198" s="5">
        <v>45123</v>
      </c>
      <c r="F198">
        <v>4</v>
      </c>
      <c r="G198">
        <v>2</v>
      </c>
      <c r="H198">
        <v>3</v>
      </c>
      <c r="I198">
        <v>116</v>
      </c>
      <c r="J198">
        <v>108</v>
      </c>
      <c r="K198">
        <v>5</v>
      </c>
      <c r="L198">
        <v>0</v>
      </c>
      <c r="M198" s="1" t="s">
        <v>25</v>
      </c>
      <c r="N198">
        <v>5</v>
      </c>
      <c r="O198">
        <v>0</v>
      </c>
      <c r="P198">
        <v>0</v>
      </c>
      <c r="Q198" s="1" t="s">
        <v>29</v>
      </c>
    </row>
    <row r="199" spans="1:17" x14ac:dyDescent="0.3">
      <c r="A199">
        <v>1198</v>
      </c>
      <c r="B199">
        <v>26</v>
      </c>
      <c r="C199" s="1" t="s">
        <v>12</v>
      </c>
      <c r="D199" s="1" t="s">
        <v>18</v>
      </c>
      <c r="E199" s="5">
        <v>45124</v>
      </c>
      <c r="F199">
        <v>6</v>
      </c>
      <c r="G199">
        <v>1</v>
      </c>
      <c r="H199">
        <v>2</v>
      </c>
      <c r="I199">
        <v>100</v>
      </c>
      <c r="J199">
        <v>157</v>
      </c>
      <c r="K199">
        <v>6</v>
      </c>
      <c r="L199">
        <v>0</v>
      </c>
      <c r="M199" s="1" t="s">
        <v>30</v>
      </c>
      <c r="N199">
        <v>3</v>
      </c>
      <c r="O199">
        <v>1</v>
      </c>
      <c r="P199">
        <v>0</v>
      </c>
      <c r="Q199" s="1" t="s">
        <v>29</v>
      </c>
    </row>
    <row r="200" spans="1:17" x14ac:dyDescent="0.3">
      <c r="A200">
        <v>1199</v>
      </c>
      <c r="B200">
        <v>35</v>
      </c>
      <c r="C200" s="1" t="s">
        <v>12</v>
      </c>
      <c r="D200" s="1" t="s">
        <v>15</v>
      </c>
      <c r="E200" s="5">
        <v>45125</v>
      </c>
      <c r="F200">
        <v>2</v>
      </c>
      <c r="G200">
        <v>0</v>
      </c>
      <c r="H200">
        <v>0</v>
      </c>
      <c r="I200">
        <v>208</v>
      </c>
      <c r="J200">
        <v>179</v>
      </c>
      <c r="K200">
        <v>8</v>
      </c>
      <c r="L200">
        <v>0</v>
      </c>
      <c r="M200" s="1" t="s">
        <v>27</v>
      </c>
      <c r="N200">
        <v>0</v>
      </c>
      <c r="O200">
        <v>1</v>
      </c>
      <c r="P200">
        <v>1</v>
      </c>
      <c r="Q200" s="1" t="s">
        <v>31</v>
      </c>
    </row>
    <row r="201" spans="1:17" x14ac:dyDescent="0.3">
      <c r="A201">
        <v>1200</v>
      </c>
      <c r="B201">
        <v>79</v>
      </c>
      <c r="C201" s="1" t="s">
        <v>14</v>
      </c>
      <c r="D201" s="1" t="s">
        <v>15</v>
      </c>
      <c r="E201" s="5">
        <v>45126</v>
      </c>
      <c r="F201">
        <v>10</v>
      </c>
      <c r="G201">
        <v>1</v>
      </c>
      <c r="H201">
        <v>3</v>
      </c>
      <c r="I201">
        <v>79</v>
      </c>
      <c r="J201">
        <v>131</v>
      </c>
      <c r="K201">
        <v>10</v>
      </c>
      <c r="L201">
        <v>0</v>
      </c>
      <c r="M201" s="1" t="s">
        <v>25</v>
      </c>
      <c r="N201">
        <v>4</v>
      </c>
      <c r="O201">
        <v>0</v>
      </c>
      <c r="P201">
        <v>0</v>
      </c>
      <c r="Q201" s="1" t="s">
        <v>26</v>
      </c>
    </row>
    <row r="202" spans="1:17" x14ac:dyDescent="0.3">
      <c r="A202">
        <v>1201</v>
      </c>
      <c r="B202">
        <v>21</v>
      </c>
      <c r="C202" s="1" t="s">
        <v>14</v>
      </c>
      <c r="D202" s="1" t="s">
        <v>17</v>
      </c>
      <c r="E202" s="5">
        <v>45127</v>
      </c>
      <c r="F202">
        <v>5</v>
      </c>
      <c r="G202">
        <v>1</v>
      </c>
      <c r="H202">
        <v>5</v>
      </c>
      <c r="I202">
        <v>187</v>
      </c>
      <c r="J202">
        <v>121</v>
      </c>
      <c r="K202">
        <v>6</v>
      </c>
      <c r="L202">
        <v>0</v>
      </c>
      <c r="M202" s="1" t="s">
        <v>30</v>
      </c>
      <c r="N202">
        <v>6</v>
      </c>
      <c r="O202">
        <v>0</v>
      </c>
      <c r="P202">
        <v>1</v>
      </c>
      <c r="Q202" s="1" t="s">
        <v>29</v>
      </c>
    </row>
    <row r="203" spans="1:17" x14ac:dyDescent="0.3">
      <c r="A203">
        <v>1202</v>
      </c>
      <c r="B203">
        <v>20</v>
      </c>
      <c r="C203" s="1" t="s">
        <v>12</v>
      </c>
      <c r="D203" s="1" t="s">
        <v>13</v>
      </c>
      <c r="E203" s="5">
        <v>45128</v>
      </c>
      <c r="F203">
        <v>11</v>
      </c>
      <c r="G203">
        <v>4</v>
      </c>
      <c r="H203">
        <v>0</v>
      </c>
      <c r="I203">
        <v>83</v>
      </c>
      <c r="J203">
        <v>128</v>
      </c>
      <c r="K203">
        <v>1</v>
      </c>
      <c r="L203">
        <v>0</v>
      </c>
      <c r="M203" s="1" t="s">
        <v>30</v>
      </c>
      <c r="N203">
        <v>4</v>
      </c>
      <c r="O203">
        <v>0</v>
      </c>
      <c r="P203">
        <v>0</v>
      </c>
      <c r="Q203" s="1" t="s">
        <v>26</v>
      </c>
    </row>
    <row r="204" spans="1:17" x14ac:dyDescent="0.3">
      <c r="A204">
        <v>1203</v>
      </c>
      <c r="B204">
        <v>67</v>
      </c>
      <c r="C204" s="1" t="s">
        <v>14</v>
      </c>
      <c r="D204" s="1" t="s">
        <v>18</v>
      </c>
      <c r="E204" s="5">
        <v>45129</v>
      </c>
      <c r="F204">
        <v>10</v>
      </c>
      <c r="G204">
        <v>0</v>
      </c>
      <c r="H204">
        <v>1</v>
      </c>
      <c r="I204">
        <v>149</v>
      </c>
      <c r="J204">
        <v>125</v>
      </c>
      <c r="K204">
        <v>8</v>
      </c>
      <c r="L204">
        <v>0</v>
      </c>
      <c r="M204" s="1" t="s">
        <v>25</v>
      </c>
      <c r="N204">
        <v>1</v>
      </c>
      <c r="O204">
        <v>0</v>
      </c>
      <c r="P204">
        <v>0</v>
      </c>
      <c r="Q204" s="1" t="s">
        <v>26</v>
      </c>
    </row>
    <row r="205" spans="1:17" x14ac:dyDescent="0.3">
      <c r="A205">
        <v>1204</v>
      </c>
      <c r="B205">
        <v>31</v>
      </c>
      <c r="C205" s="1" t="s">
        <v>14</v>
      </c>
      <c r="D205" s="1" t="s">
        <v>13</v>
      </c>
      <c r="E205" s="5">
        <v>45130</v>
      </c>
      <c r="F205">
        <v>1</v>
      </c>
      <c r="G205">
        <v>0</v>
      </c>
      <c r="H205">
        <v>5</v>
      </c>
      <c r="I205">
        <v>162</v>
      </c>
      <c r="J205">
        <v>125</v>
      </c>
      <c r="K205">
        <v>8</v>
      </c>
      <c r="L205">
        <v>1</v>
      </c>
      <c r="M205" s="1" t="s">
        <v>27</v>
      </c>
      <c r="N205">
        <v>5</v>
      </c>
      <c r="O205">
        <v>0</v>
      </c>
      <c r="P205">
        <v>0</v>
      </c>
      <c r="Q205" s="1" t="s">
        <v>31</v>
      </c>
    </row>
    <row r="206" spans="1:17" x14ac:dyDescent="0.3">
      <c r="A206">
        <v>1205</v>
      </c>
      <c r="B206">
        <v>88</v>
      </c>
      <c r="C206" s="1" t="s">
        <v>14</v>
      </c>
      <c r="D206" s="1" t="s">
        <v>18</v>
      </c>
      <c r="E206" s="5">
        <v>45131</v>
      </c>
      <c r="F206">
        <v>6</v>
      </c>
      <c r="G206">
        <v>0</v>
      </c>
      <c r="H206">
        <v>0</v>
      </c>
      <c r="I206">
        <v>79</v>
      </c>
      <c r="J206">
        <v>92</v>
      </c>
      <c r="K206">
        <v>9</v>
      </c>
      <c r="L206">
        <v>0</v>
      </c>
      <c r="M206" s="1" t="s">
        <v>25</v>
      </c>
      <c r="N206">
        <v>0</v>
      </c>
      <c r="O206">
        <v>0</v>
      </c>
      <c r="P206">
        <v>0</v>
      </c>
      <c r="Q206" s="1" t="s">
        <v>29</v>
      </c>
    </row>
    <row r="207" spans="1:17" x14ac:dyDescent="0.3">
      <c r="A207">
        <v>1206</v>
      </c>
      <c r="B207">
        <v>56</v>
      </c>
      <c r="C207" s="1" t="s">
        <v>14</v>
      </c>
      <c r="D207" s="1" t="s">
        <v>17</v>
      </c>
      <c r="E207" s="5">
        <v>45132</v>
      </c>
      <c r="F207">
        <v>6</v>
      </c>
      <c r="G207">
        <v>0</v>
      </c>
      <c r="H207">
        <v>5</v>
      </c>
      <c r="I207">
        <v>145</v>
      </c>
      <c r="J207">
        <v>162</v>
      </c>
      <c r="K207">
        <v>9</v>
      </c>
      <c r="L207">
        <v>0</v>
      </c>
      <c r="M207" s="1" t="s">
        <v>32</v>
      </c>
      <c r="N207">
        <v>5</v>
      </c>
      <c r="O207">
        <v>1</v>
      </c>
      <c r="P207">
        <v>0</v>
      </c>
      <c r="Q207" s="1" t="s">
        <v>29</v>
      </c>
    </row>
    <row r="208" spans="1:17" x14ac:dyDescent="0.3">
      <c r="A208">
        <v>1207</v>
      </c>
      <c r="B208">
        <v>51</v>
      </c>
      <c r="C208" s="1" t="s">
        <v>14</v>
      </c>
      <c r="D208" s="1" t="s">
        <v>17</v>
      </c>
      <c r="E208" s="5">
        <v>45133</v>
      </c>
      <c r="F208">
        <v>13</v>
      </c>
      <c r="G208">
        <v>0</v>
      </c>
      <c r="H208">
        <v>1</v>
      </c>
      <c r="I208">
        <v>163</v>
      </c>
      <c r="J208">
        <v>97</v>
      </c>
      <c r="K208">
        <v>2</v>
      </c>
      <c r="L208">
        <v>0</v>
      </c>
      <c r="M208" s="1" t="s">
        <v>32</v>
      </c>
      <c r="N208">
        <v>1</v>
      </c>
      <c r="O208">
        <v>0</v>
      </c>
      <c r="P208">
        <v>0</v>
      </c>
      <c r="Q208" s="1" t="s">
        <v>26</v>
      </c>
    </row>
    <row r="209" spans="1:17" x14ac:dyDescent="0.3">
      <c r="A209">
        <v>1208</v>
      </c>
      <c r="B209">
        <v>28</v>
      </c>
      <c r="C209" s="1" t="s">
        <v>12</v>
      </c>
      <c r="D209" s="1" t="s">
        <v>15</v>
      </c>
      <c r="E209" s="5">
        <v>45134</v>
      </c>
      <c r="F209">
        <v>4</v>
      </c>
      <c r="G209">
        <v>4</v>
      </c>
      <c r="H209">
        <v>2</v>
      </c>
      <c r="I209">
        <v>174</v>
      </c>
      <c r="J209">
        <v>159</v>
      </c>
      <c r="K209">
        <v>2</v>
      </c>
      <c r="L209">
        <v>0</v>
      </c>
      <c r="M209" s="1" t="s">
        <v>30</v>
      </c>
      <c r="N209">
        <v>6</v>
      </c>
      <c r="O209">
        <v>1</v>
      </c>
      <c r="P209">
        <v>0</v>
      </c>
      <c r="Q209" s="1" t="s">
        <v>29</v>
      </c>
    </row>
    <row r="210" spans="1:17" x14ac:dyDescent="0.3">
      <c r="A210">
        <v>1209</v>
      </c>
      <c r="B210">
        <v>38</v>
      </c>
      <c r="C210" s="1" t="s">
        <v>12</v>
      </c>
      <c r="D210" s="1" t="s">
        <v>13</v>
      </c>
      <c r="E210" s="5">
        <v>45135</v>
      </c>
      <c r="F210">
        <v>13</v>
      </c>
      <c r="G210">
        <v>2</v>
      </c>
      <c r="H210">
        <v>1</v>
      </c>
      <c r="I210">
        <v>70</v>
      </c>
      <c r="J210">
        <v>130</v>
      </c>
      <c r="K210">
        <v>3</v>
      </c>
      <c r="L210">
        <v>1</v>
      </c>
      <c r="M210" s="1" t="s">
        <v>27</v>
      </c>
      <c r="N210">
        <v>3</v>
      </c>
      <c r="O210">
        <v>0</v>
      </c>
      <c r="P210">
        <v>0</v>
      </c>
      <c r="Q210" s="1" t="s">
        <v>26</v>
      </c>
    </row>
    <row r="211" spans="1:17" x14ac:dyDescent="0.3">
      <c r="A211">
        <v>1210</v>
      </c>
      <c r="B211">
        <v>67</v>
      </c>
      <c r="C211" s="1" t="s">
        <v>12</v>
      </c>
      <c r="D211" s="1" t="s">
        <v>15</v>
      </c>
      <c r="E211" s="5">
        <v>45136</v>
      </c>
      <c r="F211">
        <v>8</v>
      </c>
      <c r="G211">
        <v>1</v>
      </c>
      <c r="H211">
        <v>1</v>
      </c>
      <c r="I211">
        <v>202</v>
      </c>
      <c r="J211">
        <v>157</v>
      </c>
      <c r="K211">
        <v>1</v>
      </c>
      <c r="L211">
        <v>0</v>
      </c>
      <c r="M211" s="1" t="s">
        <v>25</v>
      </c>
      <c r="N211">
        <v>2</v>
      </c>
      <c r="O211">
        <v>1</v>
      </c>
      <c r="P211">
        <v>1</v>
      </c>
      <c r="Q211" s="1" t="s">
        <v>26</v>
      </c>
    </row>
    <row r="212" spans="1:17" x14ac:dyDescent="0.3">
      <c r="A212">
        <v>1211</v>
      </c>
      <c r="B212">
        <v>22</v>
      </c>
      <c r="C212" s="1" t="s">
        <v>14</v>
      </c>
      <c r="D212" s="1" t="s">
        <v>13</v>
      </c>
      <c r="E212" s="5">
        <v>45137</v>
      </c>
      <c r="F212">
        <v>4</v>
      </c>
      <c r="G212">
        <v>0</v>
      </c>
      <c r="H212">
        <v>5</v>
      </c>
      <c r="I212">
        <v>89</v>
      </c>
      <c r="J212">
        <v>102</v>
      </c>
      <c r="K212">
        <v>4</v>
      </c>
      <c r="L212">
        <v>0</v>
      </c>
      <c r="M212" s="1" t="s">
        <v>30</v>
      </c>
      <c r="N212">
        <v>5</v>
      </c>
      <c r="O212">
        <v>0</v>
      </c>
      <c r="P212">
        <v>0</v>
      </c>
      <c r="Q212" s="1" t="s">
        <v>29</v>
      </c>
    </row>
    <row r="213" spans="1:17" x14ac:dyDescent="0.3">
      <c r="A213">
        <v>1212</v>
      </c>
      <c r="B213">
        <v>39</v>
      </c>
      <c r="C213" s="1" t="s">
        <v>14</v>
      </c>
      <c r="D213" s="1" t="s">
        <v>15</v>
      </c>
      <c r="E213" s="5">
        <v>45138</v>
      </c>
      <c r="F213">
        <v>8</v>
      </c>
      <c r="G213">
        <v>2</v>
      </c>
      <c r="H213">
        <v>4</v>
      </c>
      <c r="I213">
        <v>77</v>
      </c>
      <c r="J213">
        <v>138</v>
      </c>
      <c r="K213">
        <v>4</v>
      </c>
      <c r="L213">
        <v>0</v>
      </c>
      <c r="M213" s="1" t="s">
        <v>27</v>
      </c>
      <c r="N213">
        <v>6</v>
      </c>
      <c r="O213">
        <v>0</v>
      </c>
      <c r="P213">
        <v>0</v>
      </c>
      <c r="Q213" s="1" t="s">
        <v>26</v>
      </c>
    </row>
    <row r="214" spans="1:17" x14ac:dyDescent="0.3">
      <c r="A214">
        <v>1213</v>
      </c>
      <c r="B214">
        <v>43</v>
      </c>
      <c r="C214" s="1" t="s">
        <v>12</v>
      </c>
      <c r="D214" s="1" t="s">
        <v>16</v>
      </c>
      <c r="E214" s="5">
        <v>45139</v>
      </c>
      <c r="F214">
        <v>13</v>
      </c>
      <c r="G214">
        <v>2</v>
      </c>
      <c r="H214">
        <v>3</v>
      </c>
      <c r="I214">
        <v>240</v>
      </c>
      <c r="J214">
        <v>149</v>
      </c>
      <c r="K214">
        <v>9</v>
      </c>
      <c r="L214">
        <v>0</v>
      </c>
      <c r="M214" s="1" t="s">
        <v>27</v>
      </c>
      <c r="N214">
        <v>5</v>
      </c>
      <c r="O214">
        <v>1</v>
      </c>
      <c r="P214">
        <v>1</v>
      </c>
      <c r="Q214" s="1" t="s">
        <v>26</v>
      </c>
    </row>
    <row r="215" spans="1:17" x14ac:dyDescent="0.3">
      <c r="A215">
        <v>1214</v>
      </c>
      <c r="B215">
        <v>73</v>
      </c>
      <c r="C215" s="1" t="s">
        <v>14</v>
      </c>
      <c r="D215" s="1" t="s">
        <v>16</v>
      </c>
      <c r="E215" s="5">
        <v>45140</v>
      </c>
      <c r="F215">
        <v>8</v>
      </c>
      <c r="G215">
        <v>1</v>
      </c>
      <c r="H215">
        <v>3</v>
      </c>
      <c r="I215">
        <v>70</v>
      </c>
      <c r="J215">
        <v>91</v>
      </c>
      <c r="K215">
        <v>9</v>
      </c>
      <c r="L215">
        <v>0</v>
      </c>
      <c r="M215" s="1" t="s">
        <v>25</v>
      </c>
      <c r="N215">
        <v>4</v>
      </c>
      <c r="O215">
        <v>0</v>
      </c>
      <c r="P215">
        <v>0</v>
      </c>
      <c r="Q215" s="1" t="s">
        <v>26</v>
      </c>
    </row>
    <row r="216" spans="1:17" x14ac:dyDescent="0.3">
      <c r="A216">
        <v>1215</v>
      </c>
      <c r="B216">
        <v>52</v>
      </c>
      <c r="C216" s="1" t="s">
        <v>12</v>
      </c>
      <c r="D216" s="1" t="s">
        <v>16</v>
      </c>
      <c r="E216" s="5">
        <v>45141</v>
      </c>
      <c r="F216">
        <v>5</v>
      </c>
      <c r="G216">
        <v>4</v>
      </c>
      <c r="H216">
        <v>2</v>
      </c>
      <c r="I216">
        <v>126</v>
      </c>
      <c r="J216">
        <v>149</v>
      </c>
      <c r="K216">
        <v>9</v>
      </c>
      <c r="L216">
        <v>0</v>
      </c>
      <c r="M216" s="1" t="s">
        <v>32</v>
      </c>
      <c r="N216">
        <v>6</v>
      </c>
      <c r="O216">
        <v>1</v>
      </c>
      <c r="P216">
        <v>0</v>
      </c>
      <c r="Q216" s="1" t="s">
        <v>29</v>
      </c>
    </row>
    <row r="217" spans="1:17" x14ac:dyDescent="0.3">
      <c r="A217">
        <v>1216</v>
      </c>
      <c r="B217">
        <v>43</v>
      </c>
      <c r="C217" s="1" t="s">
        <v>12</v>
      </c>
      <c r="D217" s="1" t="s">
        <v>16</v>
      </c>
      <c r="E217" s="5">
        <v>45142</v>
      </c>
      <c r="F217">
        <v>13</v>
      </c>
      <c r="G217">
        <v>3</v>
      </c>
      <c r="H217">
        <v>2</v>
      </c>
      <c r="I217">
        <v>133</v>
      </c>
      <c r="J217">
        <v>94</v>
      </c>
      <c r="K217">
        <v>10</v>
      </c>
      <c r="L217">
        <v>1</v>
      </c>
      <c r="M217" s="1" t="s">
        <v>27</v>
      </c>
      <c r="N217">
        <v>5</v>
      </c>
      <c r="O217">
        <v>0</v>
      </c>
      <c r="P217">
        <v>0</v>
      </c>
      <c r="Q217" s="1" t="s">
        <v>26</v>
      </c>
    </row>
    <row r="218" spans="1:17" x14ac:dyDescent="0.3">
      <c r="A218">
        <v>1217</v>
      </c>
      <c r="B218">
        <v>55</v>
      </c>
      <c r="C218" s="1" t="s">
        <v>12</v>
      </c>
      <c r="D218" s="1" t="s">
        <v>18</v>
      </c>
      <c r="E218" s="5">
        <v>45143</v>
      </c>
      <c r="F218">
        <v>4</v>
      </c>
      <c r="G218">
        <v>3</v>
      </c>
      <c r="H218">
        <v>3</v>
      </c>
      <c r="I218">
        <v>187</v>
      </c>
      <c r="J218">
        <v>133</v>
      </c>
      <c r="K218">
        <v>7</v>
      </c>
      <c r="L218">
        <v>0</v>
      </c>
      <c r="M218" s="1" t="s">
        <v>32</v>
      </c>
      <c r="N218">
        <v>6</v>
      </c>
      <c r="O218">
        <v>0</v>
      </c>
      <c r="P218">
        <v>1</v>
      </c>
      <c r="Q218" s="1" t="s">
        <v>29</v>
      </c>
    </row>
    <row r="219" spans="1:17" x14ac:dyDescent="0.3">
      <c r="A219">
        <v>1218</v>
      </c>
      <c r="B219">
        <v>57</v>
      </c>
      <c r="C219" s="1" t="s">
        <v>14</v>
      </c>
      <c r="D219" s="1" t="s">
        <v>16</v>
      </c>
      <c r="E219" s="5">
        <v>45144</v>
      </c>
      <c r="F219">
        <v>12</v>
      </c>
      <c r="G219">
        <v>2</v>
      </c>
      <c r="H219">
        <v>4</v>
      </c>
      <c r="I219">
        <v>97</v>
      </c>
      <c r="J219">
        <v>116</v>
      </c>
      <c r="K219">
        <v>2</v>
      </c>
      <c r="L219">
        <v>0</v>
      </c>
      <c r="M219" s="1" t="s">
        <v>32</v>
      </c>
      <c r="N219">
        <v>6</v>
      </c>
      <c r="O219">
        <v>0</v>
      </c>
      <c r="P219">
        <v>0</v>
      </c>
      <c r="Q219" s="1" t="s">
        <v>26</v>
      </c>
    </row>
    <row r="220" spans="1:17" x14ac:dyDescent="0.3">
      <c r="A220">
        <v>1219</v>
      </c>
      <c r="B220">
        <v>44</v>
      </c>
      <c r="C220" s="1" t="s">
        <v>14</v>
      </c>
      <c r="D220" s="1" t="s">
        <v>17</v>
      </c>
      <c r="E220" s="5">
        <v>45145</v>
      </c>
      <c r="F220">
        <v>13</v>
      </c>
      <c r="G220">
        <v>1</v>
      </c>
      <c r="H220">
        <v>3</v>
      </c>
      <c r="I220">
        <v>190</v>
      </c>
      <c r="J220">
        <v>121</v>
      </c>
      <c r="K220">
        <v>10</v>
      </c>
      <c r="L220">
        <v>0</v>
      </c>
      <c r="M220" s="1" t="s">
        <v>27</v>
      </c>
      <c r="N220">
        <v>4</v>
      </c>
      <c r="O220">
        <v>0</v>
      </c>
      <c r="P220">
        <v>1</v>
      </c>
      <c r="Q220" s="1" t="s">
        <v>26</v>
      </c>
    </row>
    <row r="221" spans="1:17" x14ac:dyDescent="0.3">
      <c r="A221">
        <v>1220</v>
      </c>
      <c r="B221">
        <v>37</v>
      </c>
      <c r="C221" s="1" t="s">
        <v>12</v>
      </c>
      <c r="D221" s="1" t="s">
        <v>17</v>
      </c>
      <c r="E221" s="5">
        <v>45146</v>
      </c>
      <c r="F221">
        <v>2</v>
      </c>
      <c r="G221">
        <v>3</v>
      </c>
      <c r="H221">
        <v>4</v>
      </c>
      <c r="I221">
        <v>176</v>
      </c>
      <c r="J221">
        <v>110</v>
      </c>
      <c r="K221">
        <v>5</v>
      </c>
      <c r="L221">
        <v>0</v>
      </c>
      <c r="M221" s="1" t="s">
        <v>27</v>
      </c>
      <c r="N221">
        <v>7</v>
      </c>
      <c r="O221">
        <v>0</v>
      </c>
      <c r="P221">
        <v>0</v>
      </c>
      <c r="Q221" s="1" t="s">
        <v>31</v>
      </c>
    </row>
    <row r="222" spans="1:17" x14ac:dyDescent="0.3">
      <c r="A222">
        <v>1221</v>
      </c>
      <c r="B222">
        <v>85</v>
      </c>
      <c r="C222" s="1" t="s">
        <v>12</v>
      </c>
      <c r="D222" s="1" t="s">
        <v>18</v>
      </c>
      <c r="E222" s="5">
        <v>45147</v>
      </c>
      <c r="F222">
        <v>11</v>
      </c>
      <c r="G222">
        <v>2</v>
      </c>
      <c r="H222">
        <v>2</v>
      </c>
      <c r="I222">
        <v>234</v>
      </c>
      <c r="J222">
        <v>97</v>
      </c>
      <c r="K222">
        <v>4</v>
      </c>
      <c r="L222">
        <v>0</v>
      </c>
      <c r="M222" s="1" t="s">
        <v>25</v>
      </c>
      <c r="N222">
        <v>4</v>
      </c>
      <c r="O222">
        <v>0</v>
      </c>
      <c r="P222">
        <v>1</v>
      </c>
      <c r="Q222" s="1" t="s">
        <v>26</v>
      </c>
    </row>
    <row r="223" spans="1:17" x14ac:dyDescent="0.3">
      <c r="A223">
        <v>1222</v>
      </c>
      <c r="B223">
        <v>73</v>
      </c>
      <c r="C223" s="1" t="s">
        <v>12</v>
      </c>
      <c r="D223" s="1" t="s">
        <v>16</v>
      </c>
      <c r="E223" s="5">
        <v>45148</v>
      </c>
      <c r="F223">
        <v>3</v>
      </c>
      <c r="G223">
        <v>4</v>
      </c>
      <c r="H223">
        <v>0</v>
      </c>
      <c r="I223">
        <v>244</v>
      </c>
      <c r="J223">
        <v>161</v>
      </c>
      <c r="K223">
        <v>11</v>
      </c>
      <c r="L223">
        <v>1</v>
      </c>
      <c r="M223" s="1" t="s">
        <v>25</v>
      </c>
      <c r="N223">
        <v>4</v>
      </c>
      <c r="O223">
        <v>1</v>
      </c>
      <c r="P223">
        <v>1</v>
      </c>
      <c r="Q223" s="1" t="s">
        <v>31</v>
      </c>
    </row>
    <row r="224" spans="1:17" x14ac:dyDescent="0.3">
      <c r="A224">
        <v>1223</v>
      </c>
      <c r="B224">
        <v>54</v>
      </c>
      <c r="C224" s="1" t="s">
        <v>12</v>
      </c>
      <c r="D224" s="1" t="s">
        <v>16</v>
      </c>
      <c r="E224" s="5">
        <v>45149</v>
      </c>
      <c r="F224">
        <v>3</v>
      </c>
      <c r="G224">
        <v>3</v>
      </c>
      <c r="H224">
        <v>5</v>
      </c>
      <c r="I224">
        <v>234</v>
      </c>
      <c r="J224">
        <v>139</v>
      </c>
      <c r="K224">
        <v>8</v>
      </c>
      <c r="L224">
        <v>1</v>
      </c>
      <c r="M224" s="1" t="s">
        <v>32</v>
      </c>
      <c r="N224">
        <v>8</v>
      </c>
      <c r="O224">
        <v>0</v>
      </c>
      <c r="P224">
        <v>1</v>
      </c>
      <c r="Q224" s="1" t="s">
        <v>31</v>
      </c>
    </row>
    <row r="225" spans="1:17" x14ac:dyDescent="0.3">
      <c r="A225">
        <v>1224</v>
      </c>
      <c r="B225">
        <v>80</v>
      </c>
      <c r="C225" s="1" t="s">
        <v>14</v>
      </c>
      <c r="D225" s="1" t="s">
        <v>16</v>
      </c>
      <c r="E225" s="5">
        <v>45150</v>
      </c>
      <c r="F225">
        <v>4</v>
      </c>
      <c r="G225">
        <v>2</v>
      </c>
      <c r="H225">
        <v>2</v>
      </c>
      <c r="I225">
        <v>118</v>
      </c>
      <c r="J225">
        <v>156</v>
      </c>
      <c r="K225">
        <v>2</v>
      </c>
      <c r="L225">
        <v>0</v>
      </c>
      <c r="M225" s="1" t="s">
        <v>25</v>
      </c>
      <c r="N225">
        <v>4</v>
      </c>
      <c r="O225">
        <v>1</v>
      </c>
      <c r="P225">
        <v>0</v>
      </c>
      <c r="Q225" s="1" t="s">
        <v>29</v>
      </c>
    </row>
    <row r="226" spans="1:17" x14ac:dyDescent="0.3">
      <c r="A226">
        <v>1225</v>
      </c>
      <c r="B226">
        <v>60</v>
      </c>
      <c r="C226" s="1" t="s">
        <v>14</v>
      </c>
      <c r="D226" s="1" t="s">
        <v>15</v>
      </c>
      <c r="E226" s="5">
        <v>45151</v>
      </c>
      <c r="F226">
        <v>4</v>
      </c>
      <c r="G226">
        <v>2</v>
      </c>
      <c r="H226">
        <v>2</v>
      </c>
      <c r="I226">
        <v>189</v>
      </c>
      <c r="J226">
        <v>133</v>
      </c>
      <c r="K226">
        <v>6</v>
      </c>
      <c r="L226">
        <v>1</v>
      </c>
      <c r="M226" s="1" t="s">
        <v>25</v>
      </c>
      <c r="N226">
        <v>4</v>
      </c>
      <c r="O226">
        <v>0</v>
      </c>
      <c r="P226">
        <v>1</v>
      </c>
      <c r="Q226" s="1" t="s">
        <v>29</v>
      </c>
    </row>
    <row r="227" spans="1:17" x14ac:dyDescent="0.3">
      <c r="A227">
        <v>1226</v>
      </c>
      <c r="B227">
        <v>52</v>
      </c>
      <c r="C227" s="1" t="s">
        <v>12</v>
      </c>
      <c r="D227" s="1" t="s">
        <v>13</v>
      </c>
      <c r="E227" s="5">
        <v>45152</v>
      </c>
      <c r="F227">
        <v>10</v>
      </c>
      <c r="G227">
        <v>0</v>
      </c>
      <c r="H227">
        <v>1</v>
      </c>
      <c r="I227">
        <v>113</v>
      </c>
      <c r="J227">
        <v>147</v>
      </c>
      <c r="K227">
        <v>5</v>
      </c>
      <c r="L227">
        <v>1</v>
      </c>
      <c r="M227" s="1" t="s">
        <v>32</v>
      </c>
      <c r="N227">
        <v>1</v>
      </c>
      <c r="O227">
        <v>1</v>
      </c>
      <c r="P227">
        <v>0</v>
      </c>
      <c r="Q227" s="1" t="s">
        <v>26</v>
      </c>
    </row>
    <row r="228" spans="1:17" x14ac:dyDescent="0.3">
      <c r="A228">
        <v>1227</v>
      </c>
      <c r="B228">
        <v>87</v>
      </c>
      <c r="C228" s="1" t="s">
        <v>12</v>
      </c>
      <c r="D228" s="1" t="s">
        <v>15</v>
      </c>
      <c r="E228" s="5">
        <v>45153</v>
      </c>
      <c r="F228">
        <v>11</v>
      </c>
      <c r="G228">
        <v>4</v>
      </c>
      <c r="H228">
        <v>1</v>
      </c>
      <c r="I228">
        <v>125</v>
      </c>
      <c r="J228">
        <v>92</v>
      </c>
      <c r="K228">
        <v>2</v>
      </c>
      <c r="L228">
        <v>1</v>
      </c>
      <c r="M228" s="1" t="s">
        <v>25</v>
      </c>
      <c r="N228">
        <v>5</v>
      </c>
      <c r="O228">
        <v>0</v>
      </c>
      <c r="P228">
        <v>0</v>
      </c>
      <c r="Q228" s="1" t="s">
        <v>26</v>
      </c>
    </row>
    <row r="229" spans="1:17" x14ac:dyDescent="0.3">
      <c r="A229">
        <v>1228</v>
      </c>
      <c r="B229">
        <v>52</v>
      </c>
      <c r="C229" s="1" t="s">
        <v>14</v>
      </c>
      <c r="D229" s="1" t="s">
        <v>13</v>
      </c>
      <c r="E229" s="5">
        <v>45154</v>
      </c>
      <c r="F229">
        <v>11</v>
      </c>
      <c r="G229">
        <v>0</v>
      </c>
      <c r="H229">
        <v>1</v>
      </c>
      <c r="I229">
        <v>225</v>
      </c>
      <c r="J229">
        <v>175</v>
      </c>
      <c r="K229">
        <v>11</v>
      </c>
      <c r="L229">
        <v>0</v>
      </c>
      <c r="M229" s="1" t="s">
        <v>32</v>
      </c>
      <c r="N229">
        <v>1</v>
      </c>
      <c r="O229">
        <v>1</v>
      </c>
      <c r="P229">
        <v>1</v>
      </c>
      <c r="Q229" s="1" t="s">
        <v>26</v>
      </c>
    </row>
    <row r="230" spans="1:17" x14ac:dyDescent="0.3">
      <c r="A230">
        <v>1229</v>
      </c>
      <c r="B230">
        <v>33</v>
      </c>
      <c r="C230" s="1" t="s">
        <v>14</v>
      </c>
      <c r="D230" s="1" t="s">
        <v>16</v>
      </c>
      <c r="E230" s="5">
        <v>45155</v>
      </c>
      <c r="F230">
        <v>5</v>
      </c>
      <c r="G230">
        <v>1</v>
      </c>
      <c r="H230">
        <v>5</v>
      </c>
      <c r="I230">
        <v>180</v>
      </c>
      <c r="J230">
        <v>159</v>
      </c>
      <c r="K230">
        <v>10</v>
      </c>
      <c r="L230">
        <v>1</v>
      </c>
      <c r="M230" s="1" t="s">
        <v>27</v>
      </c>
      <c r="N230">
        <v>6</v>
      </c>
      <c r="O230">
        <v>1</v>
      </c>
      <c r="P230">
        <v>1</v>
      </c>
      <c r="Q230" s="1" t="s">
        <v>29</v>
      </c>
    </row>
    <row r="231" spans="1:17" x14ac:dyDescent="0.3">
      <c r="A231">
        <v>1230</v>
      </c>
      <c r="B231">
        <v>40</v>
      </c>
      <c r="C231" s="1" t="s">
        <v>12</v>
      </c>
      <c r="D231" s="1" t="s">
        <v>16</v>
      </c>
      <c r="E231" s="5">
        <v>45156</v>
      </c>
      <c r="F231">
        <v>4</v>
      </c>
      <c r="G231">
        <v>0</v>
      </c>
      <c r="H231">
        <v>1</v>
      </c>
      <c r="I231">
        <v>203</v>
      </c>
      <c r="J231">
        <v>91</v>
      </c>
      <c r="K231">
        <v>1</v>
      </c>
      <c r="L231">
        <v>0</v>
      </c>
      <c r="M231" s="1" t="s">
        <v>27</v>
      </c>
      <c r="N231">
        <v>1</v>
      </c>
      <c r="O231">
        <v>0</v>
      </c>
      <c r="P231">
        <v>1</v>
      </c>
      <c r="Q231" s="1" t="s">
        <v>29</v>
      </c>
    </row>
    <row r="232" spans="1:17" x14ac:dyDescent="0.3">
      <c r="A232">
        <v>1231</v>
      </c>
      <c r="B232">
        <v>67</v>
      </c>
      <c r="C232" s="1" t="s">
        <v>12</v>
      </c>
      <c r="D232" s="1" t="s">
        <v>15</v>
      </c>
      <c r="E232" s="5">
        <v>45157</v>
      </c>
      <c r="F232">
        <v>11</v>
      </c>
      <c r="G232">
        <v>0</v>
      </c>
      <c r="H232">
        <v>4</v>
      </c>
      <c r="I232">
        <v>177</v>
      </c>
      <c r="J232">
        <v>176</v>
      </c>
      <c r="K232">
        <v>8</v>
      </c>
      <c r="L232">
        <v>1</v>
      </c>
      <c r="M232" s="1" t="s">
        <v>25</v>
      </c>
      <c r="N232">
        <v>4</v>
      </c>
      <c r="O232">
        <v>1</v>
      </c>
      <c r="P232">
        <v>0</v>
      </c>
      <c r="Q232" s="1" t="s">
        <v>26</v>
      </c>
    </row>
    <row r="233" spans="1:17" x14ac:dyDescent="0.3">
      <c r="A233">
        <v>1232</v>
      </c>
      <c r="B233">
        <v>39</v>
      </c>
      <c r="C233" s="1" t="s">
        <v>12</v>
      </c>
      <c r="D233" s="1" t="s">
        <v>15</v>
      </c>
      <c r="E233" s="5">
        <v>45158</v>
      </c>
      <c r="F233">
        <v>14</v>
      </c>
      <c r="G233">
        <v>3</v>
      </c>
      <c r="H233">
        <v>3</v>
      </c>
      <c r="I233">
        <v>217</v>
      </c>
      <c r="J233">
        <v>133</v>
      </c>
      <c r="K233">
        <v>2</v>
      </c>
      <c r="L233">
        <v>0</v>
      </c>
      <c r="M233" s="1" t="s">
        <v>27</v>
      </c>
      <c r="N233">
        <v>6</v>
      </c>
      <c r="O233">
        <v>0</v>
      </c>
      <c r="P233">
        <v>1</v>
      </c>
      <c r="Q233" s="1" t="s">
        <v>26</v>
      </c>
    </row>
    <row r="234" spans="1:17" x14ac:dyDescent="0.3">
      <c r="A234">
        <v>1233</v>
      </c>
      <c r="B234">
        <v>27</v>
      </c>
      <c r="C234" s="1" t="s">
        <v>14</v>
      </c>
      <c r="D234" s="1" t="s">
        <v>13</v>
      </c>
      <c r="E234" s="5">
        <v>45159</v>
      </c>
      <c r="F234">
        <v>10</v>
      </c>
      <c r="G234">
        <v>2</v>
      </c>
      <c r="H234">
        <v>0</v>
      </c>
      <c r="I234">
        <v>183</v>
      </c>
      <c r="J234">
        <v>91</v>
      </c>
      <c r="K234">
        <v>7</v>
      </c>
      <c r="L234">
        <v>0</v>
      </c>
      <c r="M234" s="1" t="s">
        <v>30</v>
      </c>
      <c r="N234">
        <v>2</v>
      </c>
      <c r="O234">
        <v>0</v>
      </c>
      <c r="P234">
        <v>1</v>
      </c>
      <c r="Q234" s="1" t="s">
        <v>26</v>
      </c>
    </row>
    <row r="235" spans="1:17" x14ac:dyDescent="0.3">
      <c r="A235">
        <v>1234</v>
      </c>
      <c r="B235">
        <v>26</v>
      </c>
      <c r="C235" s="1" t="s">
        <v>14</v>
      </c>
      <c r="D235" s="1" t="s">
        <v>17</v>
      </c>
      <c r="E235" s="5">
        <v>45160</v>
      </c>
      <c r="F235">
        <v>8</v>
      </c>
      <c r="G235">
        <v>4</v>
      </c>
      <c r="H235">
        <v>2</v>
      </c>
      <c r="I235">
        <v>147</v>
      </c>
      <c r="J235">
        <v>170</v>
      </c>
      <c r="K235">
        <v>9</v>
      </c>
      <c r="L235">
        <v>1</v>
      </c>
      <c r="M235" s="1" t="s">
        <v>30</v>
      </c>
      <c r="N235">
        <v>6</v>
      </c>
      <c r="O235">
        <v>1</v>
      </c>
      <c r="P235">
        <v>0</v>
      </c>
      <c r="Q235" s="1" t="s">
        <v>26</v>
      </c>
    </row>
    <row r="236" spans="1:17" x14ac:dyDescent="0.3">
      <c r="A236">
        <v>1235</v>
      </c>
      <c r="B236">
        <v>86</v>
      </c>
      <c r="C236" s="1" t="s">
        <v>14</v>
      </c>
      <c r="D236" s="1" t="s">
        <v>13</v>
      </c>
      <c r="E236" s="5">
        <v>45161</v>
      </c>
      <c r="F236">
        <v>6</v>
      </c>
      <c r="G236">
        <v>0</v>
      </c>
      <c r="H236">
        <v>4</v>
      </c>
      <c r="I236">
        <v>199</v>
      </c>
      <c r="J236">
        <v>124</v>
      </c>
      <c r="K236">
        <v>9</v>
      </c>
      <c r="L236">
        <v>0</v>
      </c>
      <c r="M236" s="1" t="s">
        <v>25</v>
      </c>
      <c r="N236">
        <v>4</v>
      </c>
      <c r="O236">
        <v>0</v>
      </c>
      <c r="P236">
        <v>1</v>
      </c>
      <c r="Q236" s="1" t="s">
        <v>29</v>
      </c>
    </row>
    <row r="237" spans="1:17" x14ac:dyDescent="0.3">
      <c r="A237">
        <v>1236</v>
      </c>
      <c r="B237">
        <v>36</v>
      </c>
      <c r="C237" s="1" t="s">
        <v>12</v>
      </c>
      <c r="D237" s="1" t="s">
        <v>15</v>
      </c>
      <c r="E237" s="5">
        <v>45162</v>
      </c>
      <c r="F237">
        <v>6</v>
      </c>
      <c r="G237">
        <v>4</v>
      </c>
      <c r="H237">
        <v>0</v>
      </c>
      <c r="I237">
        <v>106</v>
      </c>
      <c r="J237">
        <v>176</v>
      </c>
      <c r="K237">
        <v>8</v>
      </c>
      <c r="L237">
        <v>1</v>
      </c>
      <c r="M237" s="1" t="s">
        <v>27</v>
      </c>
      <c r="N237">
        <v>4</v>
      </c>
      <c r="O237">
        <v>1</v>
      </c>
      <c r="P237">
        <v>0</v>
      </c>
      <c r="Q237" s="1" t="s">
        <v>29</v>
      </c>
    </row>
    <row r="238" spans="1:17" x14ac:dyDescent="0.3">
      <c r="A238">
        <v>1237</v>
      </c>
      <c r="B238">
        <v>52</v>
      </c>
      <c r="C238" s="1" t="s">
        <v>12</v>
      </c>
      <c r="D238" s="1" t="s">
        <v>15</v>
      </c>
      <c r="E238" s="5">
        <v>45163</v>
      </c>
      <c r="F238">
        <v>8</v>
      </c>
      <c r="G238">
        <v>0</v>
      </c>
      <c r="H238">
        <v>4</v>
      </c>
      <c r="I238">
        <v>89</v>
      </c>
      <c r="J238">
        <v>119</v>
      </c>
      <c r="K238">
        <v>11</v>
      </c>
      <c r="L238">
        <v>1</v>
      </c>
      <c r="M238" s="1" t="s">
        <v>32</v>
      </c>
      <c r="N238">
        <v>4</v>
      </c>
      <c r="O238">
        <v>0</v>
      </c>
      <c r="P238">
        <v>0</v>
      </c>
      <c r="Q238" s="1" t="s">
        <v>26</v>
      </c>
    </row>
    <row r="239" spans="1:17" x14ac:dyDescent="0.3">
      <c r="A239">
        <v>1238</v>
      </c>
      <c r="B239">
        <v>67</v>
      </c>
      <c r="C239" s="1" t="s">
        <v>14</v>
      </c>
      <c r="D239" s="1" t="s">
        <v>18</v>
      </c>
      <c r="E239" s="5">
        <v>45164</v>
      </c>
      <c r="F239">
        <v>7</v>
      </c>
      <c r="G239">
        <v>1</v>
      </c>
      <c r="H239">
        <v>4</v>
      </c>
      <c r="I239">
        <v>95</v>
      </c>
      <c r="J239">
        <v>97</v>
      </c>
      <c r="K239">
        <v>10</v>
      </c>
      <c r="L239">
        <v>0</v>
      </c>
      <c r="M239" s="1" t="s">
        <v>25</v>
      </c>
      <c r="N239">
        <v>5</v>
      </c>
      <c r="O239">
        <v>0</v>
      </c>
      <c r="P239">
        <v>0</v>
      </c>
      <c r="Q239" s="1" t="s">
        <v>29</v>
      </c>
    </row>
    <row r="240" spans="1:17" x14ac:dyDescent="0.3">
      <c r="A240">
        <v>1239</v>
      </c>
      <c r="B240">
        <v>78</v>
      </c>
      <c r="C240" s="1" t="s">
        <v>14</v>
      </c>
      <c r="D240" s="1" t="s">
        <v>15</v>
      </c>
      <c r="E240" s="5">
        <v>45165</v>
      </c>
      <c r="F240">
        <v>10</v>
      </c>
      <c r="G240">
        <v>0</v>
      </c>
      <c r="H240">
        <v>2</v>
      </c>
      <c r="I240">
        <v>98</v>
      </c>
      <c r="J240">
        <v>111</v>
      </c>
      <c r="K240">
        <v>9</v>
      </c>
      <c r="L240">
        <v>0</v>
      </c>
      <c r="M240" s="1" t="s">
        <v>25</v>
      </c>
      <c r="N240">
        <v>2</v>
      </c>
      <c r="O240">
        <v>0</v>
      </c>
      <c r="P240">
        <v>0</v>
      </c>
      <c r="Q240" s="1" t="s">
        <v>26</v>
      </c>
    </row>
    <row r="241" spans="1:17" x14ac:dyDescent="0.3">
      <c r="A241">
        <v>1240</v>
      </c>
      <c r="B241">
        <v>41</v>
      </c>
      <c r="C241" s="1" t="s">
        <v>12</v>
      </c>
      <c r="D241" s="1" t="s">
        <v>18</v>
      </c>
      <c r="E241" s="5">
        <v>45166</v>
      </c>
      <c r="F241">
        <v>14</v>
      </c>
      <c r="G241">
        <v>3</v>
      </c>
      <c r="H241">
        <v>3</v>
      </c>
      <c r="I241">
        <v>70</v>
      </c>
      <c r="J241">
        <v>133</v>
      </c>
      <c r="K241">
        <v>2</v>
      </c>
      <c r="L241">
        <v>0</v>
      </c>
      <c r="M241" s="1" t="s">
        <v>27</v>
      </c>
      <c r="N241">
        <v>6</v>
      </c>
      <c r="O241">
        <v>0</v>
      </c>
      <c r="P241">
        <v>0</v>
      </c>
      <c r="Q241" s="1" t="s">
        <v>26</v>
      </c>
    </row>
    <row r="242" spans="1:17" x14ac:dyDescent="0.3">
      <c r="A242">
        <v>1241</v>
      </c>
      <c r="B242">
        <v>49</v>
      </c>
      <c r="C242" s="1" t="s">
        <v>14</v>
      </c>
      <c r="D242" s="1" t="s">
        <v>17</v>
      </c>
      <c r="E242" s="5">
        <v>45167</v>
      </c>
      <c r="F242">
        <v>11</v>
      </c>
      <c r="G242">
        <v>2</v>
      </c>
      <c r="H242">
        <v>1</v>
      </c>
      <c r="I242">
        <v>188</v>
      </c>
      <c r="J242">
        <v>147</v>
      </c>
      <c r="K242">
        <v>6</v>
      </c>
      <c r="L242">
        <v>0</v>
      </c>
      <c r="M242" s="1" t="s">
        <v>32</v>
      </c>
      <c r="N242">
        <v>3</v>
      </c>
      <c r="O242">
        <v>1</v>
      </c>
      <c r="P242">
        <v>1</v>
      </c>
      <c r="Q242" s="1" t="s">
        <v>26</v>
      </c>
    </row>
    <row r="243" spans="1:17" x14ac:dyDescent="0.3">
      <c r="A243">
        <v>1242</v>
      </c>
      <c r="B243">
        <v>57</v>
      </c>
      <c r="C243" s="1" t="s">
        <v>14</v>
      </c>
      <c r="D243" s="1" t="s">
        <v>13</v>
      </c>
      <c r="E243" s="5">
        <v>45168</v>
      </c>
      <c r="F243">
        <v>12</v>
      </c>
      <c r="G243">
        <v>1</v>
      </c>
      <c r="H243">
        <v>5</v>
      </c>
      <c r="I243">
        <v>104</v>
      </c>
      <c r="J243">
        <v>125</v>
      </c>
      <c r="K243">
        <v>4</v>
      </c>
      <c r="L243">
        <v>0</v>
      </c>
      <c r="M243" s="1" t="s">
        <v>32</v>
      </c>
      <c r="N243">
        <v>6</v>
      </c>
      <c r="O243">
        <v>0</v>
      </c>
      <c r="P243">
        <v>0</v>
      </c>
      <c r="Q243" s="1" t="s">
        <v>26</v>
      </c>
    </row>
    <row r="244" spans="1:17" x14ac:dyDescent="0.3">
      <c r="A244">
        <v>1243</v>
      </c>
      <c r="B244">
        <v>70</v>
      </c>
      <c r="C244" s="1" t="s">
        <v>12</v>
      </c>
      <c r="D244" s="1" t="s">
        <v>13</v>
      </c>
      <c r="E244" s="5">
        <v>45169</v>
      </c>
      <c r="F244">
        <v>10</v>
      </c>
      <c r="G244">
        <v>0</v>
      </c>
      <c r="H244">
        <v>3</v>
      </c>
      <c r="I244">
        <v>128</v>
      </c>
      <c r="J244">
        <v>158</v>
      </c>
      <c r="K244">
        <v>4</v>
      </c>
      <c r="L244">
        <v>1</v>
      </c>
      <c r="M244" s="1" t="s">
        <v>25</v>
      </c>
      <c r="N244">
        <v>3</v>
      </c>
      <c r="O244">
        <v>1</v>
      </c>
      <c r="P244">
        <v>0</v>
      </c>
      <c r="Q244" s="1" t="s">
        <v>26</v>
      </c>
    </row>
    <row r="245" spans="1:17" x14ac:dyDescent="0.3">
      <c r="A245">
        <v>1244</v>
      </c>
      <c r="B245">
        <v>73</v>
      </c>
      <c r="C245" s="1" t="s">
        <v>14</v>
      </c>
      <c r="D245" s="1" t="s">
        <v>18</v>
      </c>
      <c r="E245" s="5">
        <v>45170</v>
      </c>
      <c r="F245">
        <v>13</v>
      </c>
      <c r="G245">
        <v>4</v>
      </c>
      <c r="H245">
        <v>5</v>
      </c>
      <c r="I245">
        <v>138</v>
      </c>
      <c r="J245">
        <v>166</v>
      </c>
      <c r="K245">
        <v>5</v>
      </c>
      <c r="L245">
        <v>0</v>
      </c>
      <c r="M245" s="1" t="s">
        <v>25</v>
      </c>
      <c r="N245">
        <v>9</v>
      </c>
      <c r="O245">
        <v>1</v>
      </c>
      <c r="P245">
        <v>0</v>
      </c>
      <c r="Q245" s="1" t="s">
        <v>26</v>
      </c>
    </row>
    <row r="246" spans="1:17" x14ac:dyDescent="0.3">
      <c r="A246">
        <v>1245</v>
      </c>
      <c r="B246">
        <v>27</v>
      </c>
      <c r="C246" s="1" t="s">
        <v>12</v>
      </c>
      <c r="D246" s="1" t="s">
        <v>13</v>
      </c>
      <c r="E246" s="5">
        <v>45171</v>
      </c>
      <c r="F246">
        <v>8</v>
      </c>
      <c r="G246">
        <v>1</v>
      </c>
      <c r="H246">
        <v>2</v>
      </c>
      <c r="I246">
        <v>230</v>
      </c>
      <c r="J246">
        <v>120</v>
      </c>
      <c r="K246">
        <v>3</v>
      </c>
      <c r="L246">
        <v>0</v>
      </c>
      <c r="M246" s="1" t="s">
        <v>30</v>
      </c>
      <c r="N246">
        <v>3</v>
      </c>
      <c r="O246">
        <v>0</v>
      </c>
      <c r="P246">
        <v>1</v>
      </c>
      <c r="Q246" s="1" t="s">
        <v>26</v>
      </c>
    </row>
    <row r="247" spans="1:17" x14ac:dyDescent="0.3">
      <c r="A247">
        <v>1246</v>
      </c>
      <c r="B247">
        <v>46</v>
      </c>
      <c r="C247" s="1" t="s">
        <v>12</v>
      </c>
      <c r="D247" s="1" t="s">
        <v>15</v>
      </c>
      <c r="E247" s="5">
        <v>45172</v>
      </c>
      <c r="F247">
        <v>14</v>
      </c>
      <c r="G247">
        <v>1</v>
      </c>
      <c r="H247">
        <v>2</v>
      </c>
      <c r="I247">
        <v>248</v>
      </c>
      <c r="J247">
        <v>136</v>
      </c>
      <c r="K247">
        <v>1</v>
      </c>
      <c r="L247">
        <v>1</v>
      </c>
      <c r="M247" s="1" t="s">
        <v>32</v>
      </c>
      <c r="N247">
        <v>3</v>
      </c>
      <c r="O247">
        <v>0</v>
      </c>
      <c r="P247">
        <v>1</v>
      </c>
      <c r="Q247" s="1" t="s">
        <v>26</v>
      </c>
    </row>
    <row r="248" spans="1:17" x14ac:dyDescent="0.3">
      <c r="A248">
        <v>1247</v>
      </c>
      <c r="B248">
        <v>46</v>
      </c>
      <c r="C248" s="1" t="s">
        <v>12</v>
      </c>
      <c r="D248" s="1" t="s">
        <v>16</v>
      </c>
      <c r="E248" s="5">
        <v>45173</v>
      </c>
      <c r="F248">
        <v>2</v>
      </c>
      <c r="G248">
        <v>0</v>
      </c>
      <c r="H248">
        <v>2</v>
      </c>
      <c r="I248">
        <v>81</v>
      </c>
      <c r="J248">
        <v>144</v>
      </c>
      <c r="K248">
        <v>8</v>
      </c>
      <c r="L248">
        <v>0</v>
      </c>
      <c r="M248" s="1" t="s">
        <v>32</v>
      </c>
      <c r="N248">
        <v>2</v>
      </c>
      <c r="O248">
        <v>1</v>
      </c>
      <c r="P248">
        <v>0</v>
      </c>
      <c r="Q248" s="1" t="s">
        <v>31</v>
      </c>
    </row>
    <row r="249" spans="1:17" x14ac:dyDescent="0.3">
      <c r="A249">
        <v>1248</v>
      </c>
      <c r="B249">
        <v>40</v>
      </c>
      <c r="C249" s="1" t="s">
        <v>12</v>
      </c>
      <c r="D249" s="1" t="s">
        <v>18</v>
      </c>
      <c r="E249" s="5">
        <v>45174</v>
      </c>
      <c r="F249">
        <v>9</v>
      </c>
      <c r="G249">
        <v>1</v>
      </c>
      <c r="H249">
        <v>0</v>
      </c>
      <c r="I249">
        <v>89</v>
      </c>
      <c r="J249">
        <v>169</v>
      </c>
      <c r="K249">
        <v>5</v>
      </c>
      <c r="L249">
        <v>0</v>
      </c>
      <c r="M249" s="1" t="s">
        <v>27</v>
      </c>
      <c r="N249">
        <v>1</v>
      </c>
      <c r="O249">
        <v>1</v>
      </c>
      <c r="P249">
        <v>0</v>
      </c>
      <c r="Q249" s="1" t="s">
        <v>26</v>
      </c>
    </row>
    <row r="250" spans="1:17" x14ac:dyDescent="0.3">
      <c r="A250">
        <v>1249</v>
      </c>
      <c r="B250">
        <v>49</v>
      </c>
      <c r="C250" s="1" t="s">
        <v>12</v>
      </c>
      <c r="D250" s="1" t="s">
        <v>13</v>
      </c>
      <c r="E250" s="5">
        <v>45175</v>
      </c>
      <c r="F250">
        <v>1</v>
      </c>
      <c r="G250">
        <v>4</v>
      </c>
      <c r="H250">
        <v>5</v>
      </c>
      <c r="I250">
        <v>112</v>
      </c>
      <c r="J250">
        <v>151</v>
      </c>
      <c r="K250">
        <v>3</v>
      </c>
      <c r="L250">
        <v>1</v>
      </c>
      <c r="M250" s="1" t="s">
        <v>32</v>
      </c>
      <c r="N250">
        <v>9</v>
      </c>
      <c r="O250">
        <v>1</v>
      </c>
      <c r="P250">
        <v>0</v>
      </c>
      <c r="Q250" s="1" t="s">
        <v>31</v>
      </c>
    </row>
    <row r="251" spans="1:17" x14ac:dyDescent="0.3">
      <c r="A251">
        <v>1250</v>
      </c>
      <c r="B251">
        <v>47</v>
      </c>
      <c r="C251" s="1" t="s">
        <v>12</v>
      </c>
      <c r="D251" s="1" t="s">
        <v>18</v>
      </c>
      <c r="E251" s="5">
        <v>45176</v>
      </c>
      <c r="F251">
        <v>8</v>
      </c>
      <c r="G251">
        <v>1</v>
      </c>
      <c r="H251">
        <v>3</v>
      </c>
      <c r="I251">
        <v>195</v>
      </c>
      <c r="J251">
        <v>119</v>
      </c>
      <c r="K251">
        <v>10</v>
      </c>
      <c r="L251">
        <v>0</v>
      </c>
      <c r="M251" s="1" t="s">
        <v>32</v>
      </c>
      <c r="N251">
        <v>4</v>
      </c>
      <c r="O251">
        <v>0</v>
      </c>
      <c r="P251">
        <v>1</v>
      </c>
      <c r="Q251" s="1" t="s">
        <v>26</v>
      </c>
    </row>
    <row r="252" spans="1:17" x14ac:dyDescent="0.3">
      <c r="A252">
        <v>1251</v>
      </c>
      <c r="B252">
        <v>83</v>
      </c>
      <c r="C252" s="1" t="s">
        <v>12</v>
      </c>
      <c r="D252" s="1" t="s">
        <v>18</v>
      </c>
      <c r="E252" s="5">
        <v>45177</v>
      </c>
      <c r="F252">
        <v>12</v>
      </c>
      <c r="G252">
        <v>4</v>
      </c>
      <c r="H252">
        <v>3</v>
      </c>
      <c r="I252">
        <v>119</v>
      </c>
      <c r="J252">
        <v>144</v>
      </c>
      <c r="K252">
        <v>7</v>
      </c>
      <c r="L252">
        <v>1</v>
      </c>
      <c r="M252" s="1" t="s">
        <v>25</v>
      </c>
      <c r="N252">
        <v>7</v>
      </c>
      <c r="O252">
        <v>1</v>
      </c>
      <c r="P252">
        <v>0</v>
      </c>
      <c r="Q252" s="1" t="s">
        <v>26</v>
      </c>
    </row>
    <row r="253" spans="1:17" x14ac:dyDescent="0.3">
      <c r="A253">
        <v>1252</v>
      </c>
      <c r="B253">
        <v>88</v>
      </c>
      <c r="C253" s="1" t="s">
        <v>14</v>
      </c>
      <c r="D253" s="1" t="s">
        <v>16</v>
      </c>
      <c r="E253" s="5">
        <v>45178</v>
      </c>
      <c r="F253">
        <v>11</v>
      </c>
      <c r="G253">
        <v>0</v>
      </c>
      <c r="H253">
        <v>4</v>
      </c>
      <c r="I253">
        <v>98</v>
      </c>
      <c r="J253">
        <v>105</v>
      </c>
      <c r="K253">
        <v>7</v>
      </c>
      <c r="L253">
        <v>1</v>
      </c>
      <c r="M253" s="1" t="s">
        <v>25</v>
      </c>
      <c r="N253">
        <v>4</v>
      </c>
      <c r="O253">
        <v>0</v>
      </c>
      <c r="P253">
        <v>0</v>
      </c>
      <c r="Q253" s="1" t="s">
        <v>26</v>
      </c>
    </row>
    <row r="254" spans="1:17" x14ac:dyDescent="0.3">
      <c r="A254">
        <v>1253</v>
      </c>
      <c r="B254">
        <v>80</v>
      </c>
      <c r="C254" s="1" t="s">
        <v>12</v>
      </c>
      <c r="D254" s="1" t="s">
        <v>15</v>
      </c>
      <c r="E254" s="5">
        <v>45179</v>
      </c>
      <c r="F254">
        <v>12</v>
      </c>
      <c r="G254">
        <v>2</v>
      </c>
      <c r="H254">
        <v>4</v>
      </c>
      <c r="I254">
        <v>108</v>
      </c>
      <c r="J254">
        <v>101</v>
      </c>
      <c r="K254">
        <v>1</v>
      </c>
      <c r="L254">
        <v>1</v>
      </c>
      <c r="M254" s="1" t="s">
        <v>25</v>
      </c>
      <c r="N254">
        <v>6</v>
      </c>
      <c r="O254">
        <v>0</v>
      </c>
      <c r="P254">
        <v>0</v>
      </c>
      <c r="Q254" s="1" t="s">
        <v>26</v>
      </c>
    </row>
    <row r="255" spans="1:17" x14ac:dyDescent="0.3">
      <c r="A255">
        <v>1254</v>
      </c>
      <c r="B255">
        <v>67</v>
      </c>
      <c r="C255" s="1" t="s">
        <v>12</v>
      </c>
      <c r="D255" s="1" t="s">
        <v>18</v>
      </c>
      <c r="E255" s="5">
        <v>45180</v>
      </c>
      <c r="F255">
        <v>12</v>
      </c>
      <c r="G255">
        <v>1</v>
      </c>
      <c r="H255">
        <v>4</v>
      </c>
      <c r="I255">
        <v>240</v>
      </c>
      <c r="J255">
        <v>106</v>
      </c>
      <c r="K255">
        <v>9</v>
      </c>
      <c r="L255">
        <v>0</v>
      </c>
      <c r="M255" s="1" t="s">
        <v>25</v>
      </c>
      <c r="N255">
        <v>5</v>
      </c>
      <c r="O255">
        <v>0</v>
      </c>
      <c r="P255">
        <v>1</v>
      </c>
      <c r="Q255" s="1" t="s">
        <v>26</v>
      </c>
    </row>
    <row r="256" spans="1:17" x14ac:dyDescent="0.3">
      <c r="A256">
        <v>1255</v>
      </c>
      <c r="B256">
        <v>38</v>
      </c>
      <c r="C256" s="1" t="s">
        <v>14</v>
      </c>
      <c r="D256" s="1" t="s">
        <v>13</v>
      </c>
      <c r="E256" s="5">
        <v>45181</v>
      </c>
      <c r="F256">
        <v>4</v>
      </c>
      <c r="G256">
        <v>2</v>
      </c>
      <c r="H256">
        <v>2</v>
      </c>
      <c r="I256">
        <v>247</v>
      </c>
      <c r="J256">
        <v>105</v>
      </c>
      <c r="K256">
        <v>2</v>
      </c>
      <c r="L256">
        <v>0</v>
      </c>
      <c r="M256" s="1" t="s">
        <v>27</v>
      </c>
      <c r="N256">
        <v>4</v>
      </c>
      <c r="O256">
        <v>0</v>
      </c>
      <c r="P256">
        <v>1</v>
      </c>
      <c r="Q256" s="1" t="s">
        <v>29</v>
      </c>
    </row>
    <row r="257" spans="1:17" x14ac:dyDescent="0.3">
      <c r="A257">
        <v>1256</v>
      </c>
      <c r="B257">
        <v>23</v>
      </c>
      <c r="C257" s="1" t="s">
        <v>14</v>
      </c>
      <c r="D257" s="1" t="s">
        <v>17</v>
      </c>
      <c r="E257" s="5">
        <v>45182</v>
      </c>
      <c r="F257">
        <v>4</v>
      </c>
      <c r="G257">
        <v>4</v>
      </c>
      <c r="H257">
        <v>3</v>
      </c>
      <c r="I257">
        <v>220</v>
      </c>
      <c r="J257">
        <v>101</v>
      </c>
      <c r="K257">
        <v>5</v>
      </c>
      <c r="L257">
        <v>0</v>
      </c>
      <c r="M257" s="1" t="s">
        <v>30</v>
      </c>
      <c r="N257">
        <v>7</v>
      </c>
      <c r="O257">
        <v>0</v>
      </c>
      <c r="P257">
        <v>1</v>
      </c>
      <c r="Q257" s="1" t="s">
        <v>29</v>
      </c>
    </row>
    <row r="258" spans="1:17" x14ac:dyDescent="0.3">
      <c r="A258">
        <v>1257</v>
      </c>
      <c r="B258">
        <v>54</v>
      </c>
      <c r="C258" s="1" t="s">
        <v>14</v>
      </c>
      <c r="D258" s="1" t="s">
        <v>18</v>
      </c>
      <c r="E258" s="5">
        <v>45183</v>
      </c>
      <c r="F258">
        <v>5</v>
      </c>
      <c r="G258">
        <v>1</v>
      </c>
      <c r="H258">
        <v>5</v>
      </c>
      <c r="I258">
        <v>241</v>
      </c>
      <c r="J258">
        <v>97</v>
      </c>
      <c r="K258">
        <v>5</v>
      </c>
      <c r="L258">
        <v>1</v>
      </c>
      <c r="M258" s="1" t="s">
        <v>32</v>
      </c>
      <c r="N258">
        <v>6</v>
      </c>
      <c r="O258">
        <v>0</v>
      </c>
      <c r="P258">
        <v>1</v>
      </c>
      <c r="Q258" s="1" t="s">
        <v>29</v>
      </c>
    </row>
    <row r="259" spans="1:17" x14ac:dyDescent="0.3">
      <c r="A259">
        <v>1258</v>
      </c>
      <c r="B259">
        <v>83</v>
      </c>
      <c r="C259" s="1" t="s">
        <v>12</v>
      </c>
      <c r="D259" s="1" t="s">
        <v>18</v>
      </c>
      <c r="E259" s="5">
        <v>45184</v>
      </c>
      <c r="F259">
        <v>8</v>
      </c>
      <c r="G259">
        <v>3</v>
      </c>
      <c r="H259">
        <v>2</v>
      </c>
      <c r="I259">
        <v>107</v>
      </c>
      <c r="J259">
        <v>173</v>
      </c>
      <c r="K259">
        <v>8</v>
      </c>
      <c r="L259">
        <v>1</v>
      </c>
      <c r="M259" s="1" t="s">
        <v>25</v>
      </c>
      <c r="N259">
        <v>5</v>
      </c>
      <c r="O259">
        <v>1</v>
      </c>
      <c r="P259">
        <v>0</v>
      </c>
      <c r="Q259" s="1" t="s">
        <v>26</v>
      </c>
    </row>
    <row r="260" spans="1:17" x14ac:dyDescent="0.3">
      <c r="A260">
        <v>1259</v>
      </c>
      <c r="B260">
        <v>68</v>
      </c>
      <c r="C260" s="1" t="s">
        <v>14</v>
      </c>
      <c r="D260" s="1" t="s">
        <v>16</v>
      </c>
      <c r="E260" s="5">
        <v>45185</v>
      </c>
      <c r="F260">
        <v>5</v>
      </c>
      <c r="G260">
        <v>2</v>
      </c>
      <c r="H260">
        <v>0</v>
      </c>
      <c r="I260">
        <v>153</v>
      </c>
      <c r="J260">
        <v>92</v>
      </c>
      <c r="K260">
        <v>8</v>
      </c>
      <c r="L260">
        <v>0</v>
      </c>
      <c r="M260" s="1" t="s">
        <v>25</v>
      </c>
      <c r="N260">
        <v>2</v>
      </c>
      <c r="O260">
        <v>0</v>
      </c>
      <c r="P260">
        <v>0</v>
      </c>
      <c r="Q260" s="1" t="s">
        <v>29</v>
      </c>
    </row>
    <row r="261" spans="1:17" x14ac:dyDescent="0.3">
      <c r="A261">
        <v>1260</v>
      </c>
      <c r="B261">
        <v>36</v>
      </c>
      <c r="C261" s="1" t="s">
        <v>12</v>
      </c>
      <c r="D261" s="1" t="s">
        <v>15</v>
      </c>
      <c r="E261" s="5">
        <v>45186</v>
      </c>
      <c r="F261">
        <v>8</v>
      </c>
      <c r="G261">
        <v>1</v>
      </c>
      <c r="H261">
        <v>4</v>
      </c>
      <c r="I261">
        <v>220</v>
      </c>
      <c r="J261">
        <v>105</v>
      </c>
      <c r="K261">
        <v>7</v>
      </c>
      <c r="L261">
        <v>0</v>
      </c>
      <c r="M261" s="1" t="s">
        <v>27</v>
      </c>
      <c r="N261">
        <v>5</v>
      </c>
      <c r="O261">
        <v>0</v>
      </c>
      <c r="P261">
        <v>1</v>
      </c>
      <c r="Q261" s="1" t="s">
        <v>26</v>
      </c>
    </row>
    <row r="262" spans="1:17" x14ac:dyDescent="0.3">
      <c r="A262">
        <v>1261</v>
      </c>
      <c r="B262">
        <v>63</v>
      </c>
      <c r="C262" s="1" t="s">
        <v>12</v>
      </c>
      <c r="D262" s="1" t="s">
        <v>17</v>
      </c>
      <c r="E262" s="5">
        <v>45187</v>
      </c>
      <c r="F262">
        <v>10</v>
      </c>
      <c r="G262">
        <v>2</v>
      </c>
      <c r="H262">
        <v>2</v>
      </c>
      <c r="I262">
        <v>197</v>
      </c>
      <c r="J262">
        <v>119</v>
      </c>
      <c r="K262">
        <v>7</v>
      </c>
      <c r="L262">
        <v>0</v>
      </c>
      <c r="M262" s="1" t="s">
        <v>25</v>
      </c>
      <c r="N262">
        <v>4</v>
      </c>
      <c r="O262">
        <v>0</v>
      </c>
      <c r="P262">
        <v>1</v>
      </c>
      <c r="Q262" s="1" t="s">
        <v>26</v>
      </c>
    </row>
    <row r="263" spans="1:17" x14ac:dyDescent="0.3">
      <c r="A263">
        <v>1262</v>
      </c>
      <c r="B263">
        <v>49</v>
      </c>
      <c r="C263" s="1" t="s">
        <v>12</v>
      </c>
      <c r="D263" s="1" t="s">
        <v>13</v>
      </c>
      <c r="E263" s="5">
        <v>45188</v>
      </c>
      <c r="F263">
        <v>1</v>
      </c>
      <c r="G263">
        <v>1</v>
      </c>
      <c r="H263">
        <v>2</v>
      </c>
      <c r="I263">
        <v>195</v>
      </c>
      <c r="J263">
        <v>112</v>
      </c>
      <c r="K263">
        <v>11</v>
      </c>
      <c r="L263">
        <v>0</v>
      </c>
      <c r="M263" s="1" t="s">
        <v>32</v>
      </c>
      <c r="N263">
        <v>3</v>
      </c>
      <c r="O263">
        <v>0</v>
      </c>
      <c r="P263">
        <v>1</v>
      </c>
      <c r="Q263" s="1" t="s">
        <v>31</v>
      </c>
    </row>
    <row r="264" spans="1:17" x14ac:dyDescent="0.3">
      <c r="A264">
        <v>1263</v>
      </c>
      <c r="B264">
        <v>65</v>
      </c>
      <c r="C264" s="1" t="s">
        <v>12</v>
      </c>
      <c r="D264" s="1" t="s">
        <v>17</v>
      </c>
      <c r="E264" s="5">
        <v>45189</v>
      </c>
      <c r="F264">
        <v>12</v>
      </c>
      <c r="G264">
        <v>0</v>
      </c>
      <c r="H264">
        <v>0</v>
      </c>
      <c r="I264">
        <v>114</v>
      </c>
      <c r="J264">
        <v>94</v>
      </c>
      <c r="K264">
        <v>6</v>
      </c>
      <c r="L264">
        <v>1</v>
      </c>
      <c r="M264" s="1" t="s">
        <v>25</v>
      </c>
      <c r="N264">
        <v>0</v>
      </c>
      <c r="O264">
        <v>0</v>
      </c>
      <c r="P264">
        <v>0</v>
      </c>
      <c r="Q264" s="1" t="s">
        <v>26</v>
      </c>
    </row>
    <row r="265" spans="1:17" x14ac:dyDescent="0.3">
      <c r="A265">
        <v>1264</v>
      </c>
      <c r="B265">
        <v>25</v>
      </c>
      <c r="C265" s="1" t="s">
        <v>14</v>
      </c>
      <c r="D265" s="1" t="s">
        <v>13</v>
      </c>
      <c r="E265" s="5">
        <v>45190</v>
      </c>
      <c r="F265">
        <v>10</v>
      </c>
      <c r="G265">
        <v>2</v>
      </c>
      <c r="H265">
        <v>1</v>
      </c>
      <c r="I265">
        <v>121</v>
      </c>
      <c r="J265">
        <v>173</v>
      </c>
      <c r="K265">
        <v>6</v>
      </c>
      <c r="L265">
        <v>0</v>
      </c>
      <c r="M265" s="1" t="s">
        <v>30</v>
      </c>
      <c r="N265">
        <v>3</v>
      </c>
      <c r="O265">
        <v>1</v>
      </c>
      <c r="P265">
        <v>0</v>
      </c>
      <c r="Q265" s="1" t="s">
        <v>26</v>
      </c>
    </row>
    <row r="266" spans="1:17" x14ac:dyDescent="0.3">
      <c r="A266">
        <v>1265</v>
      </c>
      <c r="B266">
        <v>56</v>
      </c>
      <c r="C266" s="1" t="s">
        <v>14</v>
      </c>
      <c r="D266" s="1" t="s">
        <v>15</v>
      </c>
      <c r="E266" s="5">
        <v>45191</v>
      </c>
      <c r="F266">
        <v>9</v>
      </c>
      <c r="G266">
        <v>3</v>
      </c>
      <c r="H266">
        <v>3</v>
      </c>
      <c r="I266">
        <v>149</v>
      </c>
      <c r="J266">
        <v>154</v>
      </c>
      <c r="K266">
        <v>11</v>
      </c>
      <c r="L266">
        <v>1</v>
      </c>
      <c r="M266" s="1" t="s">
        <v>32</v>
      </c>
      <c r="N266">
        <v>6</v>
      </c>
      <c r="O266">
        <v>1</v>
      </c>
      <c r="P266">
        <v>0</v>
      </c>
      <c r="Q266" s="1" t="s">
        <v>26</v>
      </c>
    </row>
    <row r="267" spans="1:17" x14ac:dyDescent="0.3">
      <c r="A267">
        <v>1266</v>
      </c>
      <c r="B267">
        <v>43</v>
      </c>
      <c r="C267" s="1" t="s">
        <v>12</v>
      </c>
      <c r="D267" s="1" t="s">
        <v>13</v>
      </c>
      <c r="E267" s="5">
        <v>45192</v>
      </c>
      <c r="F267">
        <v>6</v>
      </c>
      <c r="G267">
        <v>3</v>
      </c>
      <c r="H267">
        <v>5</v>
      </c>
      <c r="I267">
        <v>247</v>
      </c>
      <c r="J267">
        <v>119</v>
      </c>
      <c r="K267">
        <v>9</v>
      </c>
      <c r="L267">
        <v>1</v>
      </c>
      <c r="M267" s="1" t="s">
        <v>27</v>
      </c>
      <c r="N267">
        <v>8</v>
      </c>
      <c r="O267">
        <v>0</v>
      </c>
      <c r="P267">
        <v>1</v>
      </c>
      <c r="Q267" s="1" t="s">
        <v>29</v>
      </c>
    </row>
    <row r="268" spans="1:17" x14ac:dyDescent="0.3">
      <c r="A268">
        <v>1267</v>
      </c>
      <c r="B268">
        <v>65</v>
      </c>
      <c r="C268" s="1" t="s">
        <v>12</v>
      </c>
      <c r="D268" s="1" t="s">
        <v>16</v>
      </c>
      <c r="E268" s="5">
        <v>45193</v>
      </c>
      <c r="F268">
        <v>3</v>
      </c>
      <c r="G268">
        <v>4</v>
      </c>
      <c r="H268">
        <v>1</v>
      </c>
      <c r="I268">
        <v>193</v>
      </c>
      <c r="J268">
        <v>110</v>
      </c>
      <c r="K268">
        <v>6</v>
      </c>
      <c r="L268">
        <v>0</v>
      </c>
      <c r="M268" s="1" t="s">
        <v>25</v>
      </c>
      <c r="N268">
        <v>5</v>
      </c>
      <c r="O268">
        <v>0</v>
      </c>
      <c r="P268">
        <v>1</v>
      </c>
      <c r="Q268" s="1" t="s">
        <v>31</v>
      </c>
    </row>
    <row r="269" spans="1:17" x14ac:dyDescent="0.3">
      <c r="A269">
        <v>1268</v>
      </c>
      <c r="B269">
        <v>72</v>
      </c>
      <c r="C269" s="1" t="s">
        <v>12</v>
      </c>
      <c r="D269" s="1" t="s">
        <v>16</v>
      </c>
      <c r="E269" s="5">
        <v>45194</v>
      </c>
      <c r="F269">
        <v>13</v>
      </c>
      <c r="G269">
        <v>1</v>
      </c>
      <c r="H269">
        <v>4</v>
      </c>
      <c r="I269">
        <v>188</v>
      </c>
      <c r="J269">
        <v>173</v>
      </c>
      <c r="K269">
        <v>2</v>
      </c>
      <c r="L269">
        <v>0</v>
      </c>
      <c r="M269" s="1" t="s">
        <v>25</v>
      </c>
      <c r="N269">
        <v>5</v>
      </c>
      <c r="O269">
        <v>1</v>
      </c>
      <c r="P269">
        <v>1</v>
      </c>
      <c r="Q269" s="1" t="s">
        <v>26</v>
      </c>
    </row>
    <row r="270" spans="1:17" x14ac:dyDescent="0.3">
      <c r="A270">
        <v>1269</v>
      </c>
      <c r="B270">
        <v>79</v>
      </c>
      <c r="C270" s="1" t="s">
        <v>14</v>
      </c>
      <c r="D270" s="1" t="s">
        <v>16</v>
      </c>
      <c r="E270" s="5">
        <v>45195</v>
      </c>
      <c r="F270">
        <v>14</v>
      </c>
      <c r="G270">
        <v>2</v>
      </c>
      <c r="H270">
        <v>2</v>
      </c>
      <c r="I270">
        <v>77</v>
      </c>
      <c r="J270">
        <v>159</v>
      </c>
      <c r="K270">
        <v>2</v>
      </c>
      <c r="L270">
        <v>0</v>
      </c>
      <c r="M270" s="1" t="s">
        <v>25</v>
      </c>
      <c r="N270">
        <v>4</v>
      </c>
      <c r="O270">
        <v>1</v>
      </c>
      <c r="P270">
        <v>0</v>
      </c>
      <c r="Q270" s="1" t="s">
        <v>26</v>
      </c>
    </row>
    <row r="271" spans="1:17" x14ac:dyDescent="0.3">
      <c r="A271">
        <v>1270</v>
      </c>
      <c r="B271">
        <v>82</v>
      </c>
      <c r="C271" s="1" t="s">
        <v>12</v>
      </c>
      <c r="D271" s="1" t="s">
        <v>16</v>
      </c>
      <c r="E271" s="5">
        <v>45196</v>
      </c>
      <c r="F271">
        <v>8</v>
      </c>
      <c r="G271">
        <v>4</v>
      </c>
      <c r="H271">
        <v>0</v>
      </c>
      <c r="I271">
        <v>154</v>
      </c>
      <c r="J271">
        <v>111</v>
      </c>
      <c r="K271">
        <v>5</v>
      </c>
      <c r="L271">
        <v>0</v>
      </c>
      <c r="M271" s="1" t="s">
        <v>25</v>
      </c>
      <c r="N271">
        <v>4</v>
      </c>
      <c r="O271">
        <v>0</v>
      </c>
      <c r="P271">
        <v>0</v>
      </c>
      <c r="Q271" s="1" t="s">
        <v>26</v>
      </c>
    </row>
    <row r="272" spans="1:17" x14ac:dyDescent="0.3">
      <c r="A272">
        <v>1271</v>
      </c>
      <c r="B272">
        <v>51</v>
      </c>
      <c r="C272" s="1" t="s">
        <v>12</v>
      </c>
      <c r="D272" s="1" t="s">
        <v>17</v>
      </c>
      <c r="E272" s="5">
        <v>45197</v>
      </c>
      <c r="F272">
        <v>9</v>
      </c>
      <c r="G272">
        <v>2</v>
      </c>
      <c r="H272">
        <v>0</v>
      </c>
      <c r="I272">
        <v>198</v>
      </c>
      <c r="J272">
        <v>171</v>
      </c>
      <c r="K272">
        <v>4</v>
      </c>
      <c r="L272">
        <v>1</v>
      </c>
      <c r="M272" s="1" t="s">
        <v>32</v>
      </c>
      <c r="N272">
        <v>2</v>
      </c>
      <c r="O272">
        <v>1</v>
      </c>
      <c r="P272">
        <v>1</v>
      </c>
      <c r="Q272" s="1" t="s">
        <v>26</v>
      </c>
    </row>
    <row r="273" spans="1:17" x14ac:dyDescent="0.3">
      <c r="A273">
        <v>1272</v>
      </c>
      <c r="B273">
        <v>52</v>
      </c>
      <c r="C273" s="1" t="s">
        <v>14</v>
      </c>
      <c r="D273" s="1" t="s">
        <v>15</v>
      </c>
      <c r="E273" s="5">
        <v>45198</v>
      </c>
      <c r="F273">
        <v>6</v>
      </c>
      <c r="G273">
        <v>1</v>
      </c>
      <c r="H273">
        <v>3</v>
      </c>
      <c r="I273">
        <v>77</v>
      </c>
      <c r="J273">
        <v>161</v>
      </c>
      <c r="K273">
        <v>11</v>
      </c>
      <c r="L273">
        <v>1</v>
      </c>
      <c r="M273" s="1" t="s">
        <v>32</v>
      </c>
      <c r="N273">
        <v>4</v>
      </c>
      <c r="O273">
        <v>1</v>
      </c>
      <c r="P273">
        <v>0</v>
      </c>
      <c r="Q273" s="1" t="s">
        <v>29</v>
      </c>
    </row>
    <row r="274" spans="1:17" x14ac:dyDescent="0.3">
      <c r="A274">
        <v>1273</v>
      </c>
      <c r="B274">
        <v>86</v>
      </c>
      <c r="C274" s="1" t="s">
        <v>14</v>
      </c>
      <c r="D274" s="1" t="s">
        <v>13</v>
      </c>
      <c r="E274" s="5">
        <v>45199</v>
      </c>
      <c r="F274">
        <v>11</v>
      </c>
      <c r="G274">
        <v>3</v>
      </c>
      <c r="H274">
        <v>1</v>
      </c>
      <c r="I274">
        <v>226</v>
      </c>
      <c r="J274">
        <v>121</v>
      </c>
      <c r="K274">
        <v>2</v>
      </c>
      <c r="L274">
        <v>1</v>
      </c>
      <c r="M274" s="1" t="s">
        <v>25</v>
      </c>
      <c r="N274">
        <v>4</v>
      </c>
      <c r="O274">
        <v>0</v>
      </c>
      <c r="P274">
        <v>1</v>
      </c>
      <c r="Q274" s="1" t="s">
        <v>26</v>
      </c>
    </row>
    <row r="275" spans="1:17" x14ac:dyDescent="0.3">
      <c r="A275">
        <v>1274</v>
      </c>
      <c r="B275">
        <v>37</v>
      </c>
      <c r="C275" s="1" t="s">
        <v>12</v>
      </c>
      <c r="D275" s="1" t="s">
        <v>13</v>
      </c>
      <c r="E275" s="5">
        <v>45200</v>
      </c>
      <c r="F275">
        <v>7</v>
      </c>
      <c r="G275">
        <v>0</v>
      </c>
      <c r="H275">
        <v>3</v>
      </c>
      <c r="I275">
        <v>165</v>
      </c>
      <c r="J275">
        <v>122</v>
      </c>
      <c r="K275">
        <v>3</v>
      </c>
      <c r="L275">
        <v>0</v>
      </c>
      <c r="M275" s="1" t="s">
        <v>27</v>
      </c>
      <c r="N275">
        <v>3</v>
      </c>
      <c r="O275">
        <v>0</v>
      </c>
      <c r="P275">
        <v>0</v>
      </c>
      <c r="Q275" s="1" t="s">
        <v>29</v>
      </c>
    </row>
    <row r="276" spans="1:17" x14ac:dyDescent="0.3">
      <c r="A276">
        <v>1275</v>
      </c>
      <c r="B276">
        <v>44</v>
      </c>
      <c r="C276" s="1" t="s">
        <v>14</v>
      </c>
      <c r="D276" s="1" t="s">
        <v>16</v>
      </c>
      <c r="E276" s="5">
        <v>45201</v>
      </c>
      <c r="F276">
        <v>1</v>
      </c>
      <c r="G276">
        <v>3</v>
      </c>
      <c r="H276">
        <v>2</v>
      </c>
      <c r="I276">
        <v>171</v>
      </c>
      <c r="J276">
        <v>105</v>
      </c>
      <c r="K276">
        <v>7</v>
      </c>
      <c r="L276">
        <v>0</v>
      </c>
      <c r="M276" s="1" t="s">
        <v>27</v>
      </c>
      <c r="N276">
        <v>5</v>
      </c>
      <c r="O276">
        <v>0</v>
      </c>
      <c r="P276">
        <v>0</v>
      </c>
      <c r="Q276" s="1" t="s">
        <v>31</v>
      </c>
    </row>
    <row r="277" spans="1:17" x14ac:dyDescent="0.3">
      <c r="A277">
        <v>1276</v>
      </c>
      <c r="B277">
        <v>73</v>
      </c>
      <c r="C277" s="1" t="s">
        <v>14</v>
      </c>
      <c r="D277" s="1" t="s">
        <v>16</v>
      </c>
      <c r="E277" s="5">
        <v>45202</v>
      </c>
      <c r="F277">
        <v>14</v>
      </c>
      <c r="G277">
        <v>4</v>
      </c>
      <c r="H277">
        <v>3</v>
      </c>
      <c r="I277">
        <v>74</v>
      </c>
      <c r="J277">
        <v>165</v>
      </c>
      <c r="K277">
        <v>8</v>
      </c>
      <c r="L277">
        <v>1</v>
      </c>
      <c r="M277" s="1" t="s">
        <v>25</v>
      </c>
      <c r="N277">
        <v>7</v>
      </c>
      <c r="O277">
        <v>1</v>
      </c>
      <c r="P277">
        <v>0</v>
      </c>
      <c r="Q277" s="1" t="s">
        <v>26</v>
      </c>
    </row>
    <row r="278" spans="1:17" x14ac:dyDescent="0.3">
      <c r="A278">
        <v>1277</v>
      </c>
      <c r="B278">
        <v>77</v>
      </c>
      <c r="C278" s="1" t="s">
        <v>12</v>
      </c>
      <c r="D278" s="1" t="s">
        <v>18</v>
      </c>
      <c r="E278" s="5">
        <v>45203</v>
      </c>
      <c r="F278">
        <v>5</v>
      </c>
      <c r="G278">
        <v>0</v>
      </c>
      <c r="H278">
        <v>5</v>
      </c>
      <c r="I278">
        <v>155</v>
      </c>
      <c r="J278">
        <v>127</v>
      </c>
      <c r="K278">
        <v>6</v>
      </c>
      <c r="L278">
        <v>0</v>
      </c>
      <c r="M278" s="1" t="s">
        <v>25</v>
      </c>
      <c r="N278">
        <v>5</v>
      </c>
      <c r="O278">
        <v>0</v>
      </c>
      <c r="P278">
        <v>0</v>
      </c>
      <c r="Q278" s="1" t="s">
        <v>29</v>
      </c>
    </row>
    <row r="279" spans="1:17" x14ac:dyDescent="0.3">
      <c r="A279">
        <v>1278</v>
      </c>
      <c r="B279">
        <v>86</v>
      </c>
      <c r="C279" s="1" t="s">
        <v>14</v>
      </c>
      <c r="D279" s="1" t="s">
        <v>15</v>
      </c>
      <c r="E279" s="5">
        <v>45204</v>
      </c>
      <c r="F279">
        <v>5</v>
      </c>
      <c r="G279">
        <v>4</v>
      </c>
      <c r="H279">
        <v>0</v>
      </c>
      <c r="I279">
        <v>244</v>
      </c>
      <c r="J279">
        <v>103</v>
      </c>
      <c r="K279">
        <v>11</v>
      </c>
      <c r="L279">
        <v>0</v>
      </c>
      <c r="M279" s="1" t="s">
        <v>25</v>
      </c>
      <c r="N279">
        <v>4</v>
      </c>
      <c r="O279">
        <v>0</v>
      </c>
      <c r="P279">
        <v>1</v>
      </c>
      <c r="Q279" s="1" t="s">
        <v>29</v>
      </c>
    </row>
    <row r="280" spans="1:17" x14ac:dyDescent="0.3">
      <c r="A280">
        <v>1279</v>
      </c>
      <c r="B280">
        <v>65</v>
      </c>
      <c r="C280" s="1" t="s">
        <v>12</v>
      </c>
      <c r="D280" s="1" t="s">
        <v>17</v>
      </c>
      <c r="E280" s="5">
        <v>45205</v>
      </c>
      <c r="F280">
        <v>10</v>
      </c>
      <c r="G280">
        <v>1</v>
      </c>
      <c r="H280">
        <v>0</v>
      </c>
      <c r="I280">
        <v>103</v>
      </c>
      <c r="J280">
        <v>125</v>
      </c>
      <c r="K280">
        <v>5</v>
      </c>
      <c r="L280">
        <v>0</v>
      </c>
      <c r="M280" s="1" t="s">
        <v>25</v>
      </c>
      <c r="N280">
        <v>1</v>
      </c>
      <c r="O280">
        <v>0</v>
      </c>
      <c r="P280">
        <v>0</v>
      </c>
      <c r="Q280" s="1" t="s">
        <v>26</v>
      </c>
    </row>
    <row r="281" spans="1:17" x14ac:dyDescent="0.3">
      <c r="A281">
        <v>1280</v>
      </c>
      <c r="B281">
        <v>43</v>
      </c>
      <c r="C281" s="1" t="s">
        <v>14</v>
      </c>
      <c r="D281" s="1" t="s">
        <v>13</v>
      </c>
      <c r="E281" s="5">
        <v>45206</v>
      </c>
      <c r="F281">
        <v>14</v>
      </c>
      <c r="G281">
        <v>0</v>
      </c>
      <c r="H281">
        <v>4</v>
      </c>
      <c r="I281">
        <v>124</v>
      </c>
      <c r="J281">
        <v>112</v>
      </c>
      <c r="K281">
        <v>1</v>
      </c>
      <c r="L281">
        <v>0</v>
      </c>
      <c r="M281" s="1" t="s">
        <v>27</v>
      </c>
      <c r="N281">
        <v>4</v>
      </c>
      <c r="O281">
        <v>0</v>
      </c>
      <c r="P281">
        <v>0</v>
      </c>
      <c r="Q281" s="1" t="s">
        <v>26</v>
      </c>
    </row>
    <row r="282" spans="1:17" x14ac:dyDescent="0.3">
      <c r="A282">
        <v>1281</v>
      </c>
      <c r="B282">
        <v>51</v>
      </c>
      <c r="C282" s="1" t="s">
        <v>12</v>
      </c>
      <c r="D282" s="1" t="s">
        <v>18</v>
      </c>
      <c r="E282" s="5">
        <v>45207</v>
      </c>
      <c r="F282">
        <v>4</v>
      </c>
      <c r="G282">
        <v>4</v>
      </c>
      <c r="H282">
        <v>4</v>
      </c>
      <c r="I282">
        <v>188</v>
      </c>
      <c r="J282">
        <v>155</v>
      </c>
      <c r="K282">
        <v>8</v>
      </c>
      <c r="L282">
        <v>0</v>
      </c>
      <c r="M282" s="1" t="s">
        <v>32</v>
      </c>
      <c r="N282">
        <v>8</v>
      </c>
      <c r="O282">
        <v>1</v>
      </c>
      <c r="P282">
        <v>1</v>
      </c>
      <c r="Q282" s="1" t="s">
        <v>29</v>
      </c>
    </row>
    <row r="283" spans="1:17" x14ac:dyDescent="0.3">
      <c r="A283">
        <v>1282</v>
      </c>
      <c r="B283">
        <v>66</v>
      </c>
      <c r="C283" s="1" t="s">
        <v>12</v>
      </c>
      <c r="D283" s="1" t="s">
        <v>18</v>
      </c>
      <c r="E283" s="5">
        <v>45208</v>
      </c>
      <c r="F283">
        <v>6</v>
      </c>
      <c r="G283">
        <v>1</v>
      </c>
      <c r="H283">
        <v>2</v>
      </c>
      <c r="I283">
        <v>240</v>
      </c>
      <c r="J283">
        <v>174</v>
      </c>
      <c r="K283">
        <v>3</v>
      </c>
      <c r="L283">
        <v>0</v>
      </c>
      <c r="M283" s="1" t="s">
        <v>25</v>
      </c>
      <c r="N283">
        <v>3</v>
      </c>
      <c r="O283">
        <v>1</v>
      </c>
      <c r="P283">
        <v>1</v>
      </c>
      <c r="Q283" s="1" t="s">
        <v>29</v>
      </c>
    </row>
    <row r="284" spans="1:17" x14ac:dyDescent="0.3">
      <c r="A284">
        <v>1283</v>
      </c>
      <c r="B284">
        <v>42</v>
      </c>
      <c r="C284" s="1" t="s">
        <v>12</v>
      </c>
      <c r="D284" s="1" t="s">
        <v>13</v>
      </c>
      <c r="E284" s="5">
        <v>45209</v>
      </c>
      <c r="F284">
        <v>7</v>
      </c>
      <c r="G284">
        <v>3</v>
      </c>
      <c r="H284">
        <v>5</v>
      </c>
      <c r="I284">
        <v>227</v>
      </c>
      <c r="J284">
        <v>91</v>
      </c>
      <c r="K284">
        <v>6</v>
      </c>
      <c r="L284">
        <v>1</v>
      </c>
      <c r="M284" s="1" t="s">
        <v>27</v>
      </c>
      <c r="N284">
        <v>8</v>
      </c>
      <c r="O284">
        <v>0</v>
      </c>
      <c r="P284">
        <v>1</v>
      </c>
      <c r="Q284" s="1" t="s">
        <v>29</v>
      </c>
    </row>
    <row r="285" spans="1:17" x14ac:dyDescent="0.3">
      <c r="A285">
        <v>1284</v>
      </c>
      <c r="B285">
        <v>85</v>
      </c>
      <c r="C285" s="1" t="s">
        <v>14</v>
      </c>
      <c r="D285" s="1" t="s">
        <v>17</v>
      </c>
      <c r="E285" s="5">
        <v>45210</v>
      </c>
      <c r="F285">
        <v>9</v>
      </c>
      <c r="G285">
        <v>1</v>
      </c>
      <c r="H285">
        <v>1</v>
      </c>
      <c r="I285">
        <v>183</v>
      </c>
      <c r="J285">
        <v>162</v>
      </c>
      <c r="K285">
        <v>3</v>
      </c>
      <c r="L285">
        <v>0</v>
      </c>
      <c r="M285" s="1" t="s">
        <v>25</v>
      </c>
      <c r="N285">
        <v>2</v>
      </c>
      <c r="O285">
        <v>1</v>
      </c>
      <c r="P285">
        <v>1</v>
      </c>
      <c r="Q285" s="1" t="s">
        <v>26</v>
      </c>
    </row>
    <row r="286" spans="1:17" x14ac:dyDescent="0.3">
      <c r="A286">
        <v>1285</v>
      </c>
      <c r="B286">
        <v>46</v>
      </c>
      <c r="C286" s="1" t="s">
        <v>12</v>
      </c>
      <c r="D286" s="1" t="s">
        <v>18</v>
      </c>
      <c r="E286" s="5">
        <v>45211</v>
      </c>
      <c r="F286">
        <v>1</v>
      </c>
      <c r="G286">
        <v>2</v>
      </c>
      <c r="H286">
        <v>3</v>
      </c>
      <c r="I286">
        <v>214</v>
      </c>
      <c r="J286">
        <v>154</v>
      </c>
      <c r="K286">
        <v>7</v>
      </c>
      <c r="L286">
        <v>0</v>
      </c>
      <c r="M286" s="1" t="s">
        <v>32</v>
      </c>
      <c r="N286">
        <v>5</v>
      </c>
      <c r="O286">
        <v>1</v>
      </c>
      <c r="P286">
        <v>1</v>
      </c>
      <c r="Q286" s="1" t="s">
        <v>31</v>
      </c>
    </row>
    <row r="287" spans="1:17" x14ac:dyDescent="0.3">
      <c r="A287">
        <v>1286</v>
      </c>
      <c r="B287">
        <v>21</v>
      </c>
      <c r="C287" s="1" t="s">
        <v>14</v>
      </c>
      <c r="D287" s="1" t="s">
        <v>18</v>
      </c>
      <c r="E287" s="5">
        <v>45212</v>
      </c>
      <c r="F287">
        <v>6</v>
      </c>
      <c r="G287">
        <v>1</v>
      </c>
      <c r="H287">
        <v>2</v>
      </c>
      <c r="I287">
        <v>95</v>
      </c>
      <c r="J287">
        <v>164</v>
      </c>
      <c r="K287">
        <v>7</v>
      </c>
      <c r="L287">
        <v>0</v>
      </c>
      <c r="M287" s="1" t="s">
        <v>30</v>
      </c>
      <c r="N287">
        <v>3</v>
      </c>
      <c r="O287">
        <v>1</v>
      </c>
      <c r="P287">
        <v>0</v>
      </c>
      <c r="Q287" s="1" t="s">
        <v>29</v>
      </c>
    </row>
    <row r="288" spans="1:17" x14ac:dyDescent="0.3">
      <c r="A288">
        <v>1287</v>
      </c>
      <c r="B288">
        <v>36</v>
      </c>
      <c r="C288" s="1" t="s">
        <v>12</v>
      </c>
      <c r="D288" s="1" t="s">
        <v>15</v>
      </c>
      <c r="E288" s="5">
        <v>45213</v>
      </c>
      <c r="F288">
        <v>7</v>
      </c>
      <c r="G288">
        <v>1</v>
      </c>
      <c r="H288">
        <v>4</v>
      </c>
      <c r="I288">
        <v>205</v>
      </c>
      <c r="J288">
        <v>156</v>
      </c>
      <c r="K288">
        <v>9</v>
      </c>
      <c r="L288">
        <v>1</v>
      </c>
      <c r="M288" s="1" t="s">
        <v>27</v>
      </c>
      <c r="N288">
        <v>5</v>
      </c>
      <c r="O288">
        <v>1</v>
      </c>
      <c r="P288">
        <v>1</v>
      </c>
      <c r="Q288" s="1" t="s">
        <v>29</v>
      </c>
    </row>
    <row r="289" spans="1:17" x14ac:dyDescent="0.3">
      <c r="A289">
        <v>1288</v>
      </c>
      <c r="B289">
        <v>52</v>
      </c>
      <c r="C289" s="1" t="s">
        <v>12</v>
      </c>
      <c r="D289" s="1" t="s">
        <v>17</v>
      </c>
      <c r="E289" s="5">
        <v>45214</v>
      </c>
      <c r="F289">
        <v>3</v>
      </c>
      <c r="G289">
        <v>2</v>
      </c>
      <c r="H289">
        <v>3</v>
      </c>
      <c r="I289">
        <v>116</v>
      </c>
      <c r="J289">
        <v>141</v>
      </c>
      <c r="K289">
        <v>5</v>
      </c>
      <c r="L289">
        <v>0</v>
      </c>
      <c r="M289" s="1" t="s">
        <v>32</v>
      </c>
      <c r="N289">
        <v>5</v>
      </c>
      <c r="O289">
        <v>1</v>
      </c>
      <c r="P289">
        <v>0</v>
      </c>
      <c r="Q289" s="1" t="s">
        <v>31</v>
      </c>
    </row>
    <row r="290" spans="1:17" x14ac:dyDescent="0.3">
      <c r="A290">
        <v>1289</v>
      </c>
      <c r="B290">
        <v>28</v>
      </c>
      <c r="C290" s="1" t="s">
        <v>14</v>
      </c>
      <c r="D290" s="1" t="s">
        <v>18</v>
      </c>
      <c r="E290" s="5">
        <v>45215</v>
      </c>
      <c r="F290">
        <v>8</v>
      </c>
      <c r="G290">
        <v>4</v>
      </c>
      <c r="H290">
        <v>4</v>
      </c>
      <c r="I290">
        <v>182</v>
      </c>
      <c r="J290">
        <v>151</v>
      </c>
      <c r="K290">
        <v>8</v>
      </c>
      <c r="L290">
        <v>0</v>
      </c>
      <c r="M290" s="1" t="s">
        <v>30</v>
      </c>
      <c r="N290">
        <v>8</v>
      </c>
      <c r="O290">
        <v>1</v>
      </c>
      <c r="P290">
        <v>1</v>
      </c>
      <c r="Q290" s="1" t="s">
        <v>26</v>
      </c>
    </row>
    <row r="291" spans="1:17" x14ac:dyDescent="0.3">
      <c r="A291">
        <v>1290</v>
      </c>
      <c r="B291">
        <v>62</v>
      </c>
      <c r="C291" s="1" t="s">
        <v>12</v>
      </c>
      <c r="D291" s="1" t="s">
        <v>17</v>
      </c>
      <c r="E291" s="5">
        <v>45216</v>
      </c>
      <c r="F291">
        <v>5</v>
      </c>
      <c r="G291">
        <v>4</v>
      </c>
      <c r="H291">
        <v>3</v>
      </c>
      <c r="I291">
        <v>145</v>
      </c>
      <c r="J291">
        <v>112</v>
      </c>
      <c r="K291">
        <v>10</v>
      </c>
      <c r="L291">
        <v>0</v>
      </c>
      <c r="M291" s="1" t="s">
        <v>25</v>
      </c>
      <c r="N291">
        <v>7</v>
      </c>
      <c r="O291">
        <v>0</v>
      </c>
      <c r="P291">
        <v>0</v>
      </c>
      <c r="Q291" s="1" t="s">
        <v>29</v>
      </c>
    </row>
    <row r="292" spans="1:17" x14ac:dyDescent="0.3">
      <c r="A292">
        <v>1291</v>
      </c>
      <c r="B292">
        <v>67</v>
      </c>
      <c r="C292" s="1" t="s">
        <v>12</v>
      </c>
      <c r="D292" s="1" t="s">
        <v>13</v>
      </c>
      <c r="E292" s="5">
        <v>45217</v>
      </c>
      <c r="F292">
        <v>9</v>
      </c>
      <c r="G292">
        <v>1</v>
      </c>
      <c r="H292">
        <v>1</v>
      </c>
      <c r="I292">
        <v>141</v>
      </c>
      <c r="J292">
        <v>115</v>
      </c>
      <c r="K292">
        <v>10</v>
      </c>
      <c r="L292">
        <v>1</v>
      </c>
      <c r="M292" s="1" t="s">
        <v>25</v>
      </c>
      <c r="N292">
        <v>2</v>
      </c>
      <c r="O292">
        <v>0</v>
      </c>
      <c r="P292">
        <v>0</v>
      </c>
      <c r="Q292" s="1" t="s">
        <v>26</v>
      </c>
    </row>
    <row r="293" spans="1:17" x14ac:dyDescent="0.3">
      <c r="A293">
        <v>1292</v>
      </c>
      <c r="B293">
        <v>58</v>
      </c>
      <c r="C293" s="1" t="s">
        <v>14</v>
      </c>
      <c r="D293" s="1" t="s">
        <v>16</v>
      </c>
      <c r="E293" s="5">
        <v>45218</v>
      </c>
      <c r="F293">
        <v>5</v>
      </c>
      <c r="G293">
        <v>2</v>
      </c>
      <c r="H293">
        <v>2</v>
      </c>
      <c r="I293">
        <v>158</v>
      </c>
      <c r="J293">
        <v>157</v>
      </c>
      <c r="K293">
        <v>8</v>
      </c>
      <c r="L293">
        <v>0</v>
      </c>
      <c r="M293" s="1" t="s">
        <v>32</v>
      </c>
      <c r="N293">
        <v>4</v>
      </c>
      <c r="O293">
        <v>1</v>
      </c>
      <c r="P293">
        <v>0</v>
      </c>
      <c r="Q293" s="1" t="s">
        <v>29</v>
      </c>
    </row>
    <row r="294" spans="1:17" x14ac:dyDescent="0.3">
      <c r="A294">
        <v>1293</v>
      </c>
      <c r="B294">
        <v>61</v>
      </c>
      <c r="C294" s="1" t="s">
        <v>12</v>
      </c>
      <c r="D294" s="1" t="s">
        <v>18</v>
      </c>
      <c r="E294" s="5">
        <v>45219</v>
      </c>
      <c r="F294">
        <v>9</v>
      </c>
      <c r="G294">
        <v>2</v>
      </c>
      <c r="H294">
        <v>3</v>
      </c>
      <c r="I294">
        <v>115</v>
      </c>
      <c r="J294">
        <v>171</v>
      </c>
      <c r="K294">
        <v>1</v>
      </c>
      <c r="L294">
        <v>1</v>
      </c>
      <c r="M294" s="1" t="s">
        <v>25</v>
      </c>
      <c r="N294">
        <v>5</v>
      </c>
      <c r="O294">
        <v>1</v>
      </c>
      <c r="P294">
        <v>0</v>
      </c>
      <c r="Q294" s="1" t="s">
        <v>26</v>
      </c>
    </row>
    <row r="295" spans="1:17" x14ac:dyDescent="0.3">
      <c r="A295">
        <v>1294</v>
      </c>
      <c r="B295">
        <v>45</v>
      </c>
      <c r="C295" s="1" t="s">
        <v>12</v>
      </c>
      <c r="D295" s="1" t="s">
        <v>15</v>
      </c>
      <c r="E295" s="5">
        <v>45220</v>
      </c>
      <c r="F295">
        <v>10</v>
      </c>
      <c r="G295">
        <v>3</v>
      </c>
      <c r="H295">
        <v>5</v>
      </c>
      <c r="I295">
        <v>102</v>
      </c>
      <c r="J295">
        <v>144</v>
      </c>
      <c r="K295">
        <v>5</v>
      </c>
      <c r="L295">
        <v>1</v>
      </c>
      <c r="M295" s="1" t="s">
        <v>32</v>
      </c>
      <c r="N295">
        <v>8</v>
      </c>
      <c r="O295">
        <v>1</v>
      </c>
      <c r="P295">
        <v>0</v>
      </c>
      <c r="Q295" s="1" t="s">
        <v>26</v>
      </c>
    </row>
    <row r="296" spans="1:17" x14ac:dyDescent="0.3">
      <c r="A296">
        <v>1295</v>
      </c>
      <c r="B296">
        <v>69</v>
      </c>
      <c r="C296" s="1" t="s">
        <v>12</v>
      </c>
      <c r="D296" s="1" t="s">
        <v>13</v>
      </c>
      <c r="E296" s="5">
        <v>45221</v>
      </c>
      <c r="F296">
        <v>4</v>
      </c>
      <c r="G296">
        <v>4</v>
      </c>
      <c r="H296">
        <v>0</v>
      </c>
      <c r="I296">
        <v>70</v>
      </c>
      <c r="J296">
        <v>95</v>
      </c>
      <c r="K296">
        <v>3</v>
      </c>
      <c r="L296">
        <v>0</v>
      </c>
      <c r="M296" s="1" t="s">
        <v>25</v>
      </c>
      <c r="N296">
        <v>4</v>
      </c>
      <c r="O296">
        <v>0</v>
      </c>
      <c r="P296">
        <v>0</v>
      </c>
      <c r="Q296" s="1" t="s">
        <v>29</v>
      </c>
    </row>
    <row r="297" spans="1:17" x14ac:dyDescent="0.3">
      <c r="A297">
        <v>1296</v>
      </c>
      <c r="B297">
        <v>44</v>
      </c>
      <c r="C297" s="1" t="s">
        <v>12</v>
      </c>
      <c r="D297" s="1" t="s">
        <v>17</v>
      </c>
      <c r="E297" s="5">
        <v>45222</v>
      </c>
      <c r="F297">
        <v>9</v>
      </c>
      <c r="G297">
        <v>0</v>
      </c>
      <c r="H297">
        <v>5</v>
      </c>
      <c r="I297">
        <v>216</v>
      </c>
      <c r="J297">
        <v>124</v>
      </c>
      <c r="K297">
        <v>1</v>
      </c>
      <c r="L297">
        <v>1</v>
      </c>
      <c r="M297" s="1" t="s">
        <v>27</v>
      </c>
      <c r="N297">
        <v>5</v>
      </c>
      <c r="O297">
        <v>0</v>
      </c>
      <c r="P297">
        <v>1</v>
      </c>
      <c r="Q297" s="1" t="s">
        <v>26</v>
      </c>
    </row>
    <row r="298" spans="1:17" x14ac:dyDescent="0.3">
      <c r="A298">
        <v>1297</v>
      </c>
      <c r="B298">
        <v>43</v>
      </c>
      <c r="C298" s="1" t="s">
        <v>14</v>
      </c>
      <c r="D298" s="1" t="s">
        <v>13</v>
      </c>
      <c r="E298" s="5">
        <v>45223</v>
      </c>
      <c r="F298">
        <v>5</v>
      </c>
      <c r="G298">
        <v>4</v>
      </c>
      <c r="H298">
        <v>5</v>
      </c>
      <c r="I298">
        <v>100</v>
      </c>
      <c r="J298">
        <v>111</v>
      </c>
      <c r="K298">
        <v>4</v>
      </c>
      <c r="L298">
        <v>0</v>
      </c>
      <c r="M298" s="1" t="s">
        <v>27</v>
      </c>
      <c r="N298">
        <v>9</v>
      </c>
      <c r="O298">
        <v>0</v>
      </c>
      <c r="P298">
        <v>0</v>
      </c>
      <c r="Q298" s="1" t="s">
        <v>29</v>
      </c>
    </row>
    <row r="299" spans="1:17" x14ac:dyDescent="0.3">
      <c r="A299">
        <v>1298</v>
      </c>
      <c r="B299">
        <v>32</v>
      </c>
      <c r="C299" s="1" t="s">
        <v>14</v>
      </c>
      <c r="D299" s="1" t="s">
        <v>18</v>
      </c>
      <c r="E299" s="5">
        <v>45224</v>
      </c>
      <c r="F299">
        <v>10</v>
      </c>
      <c r="G299">
        <v>4</v>
      </c>
      <c r="H299">
        <v>0</v>
      </c>
      <c r="I299">
        <v>211</v>
      </c>
      <c r="J299">
        <v>132</v>
      </c>
      <c r="K299">
        <v>8</v>
      </c>
      <c r="L299">
        <v>1</v>
      </c>
      <c r="M299" s="1" t="s">
        <v>27</v>
      </c>
      <c r="N299">
        <v>4</v>
      </c>
      <c r="O299">
        <v>0</v>
      </c>
      <c r="P299">
        <v>1</v>
      </c>
      <c r="Q299" s="1" t="s">
        <v>26</v>
      </c>
    </row>
    <row r="300" spans="1:17" x14ac:dyDescent="0.3">
      <c r="A300">
        <v>1299</v>
      </c>
      <c r="B300">
        <v>79</v>
      </c>
      <c r="C300" s="1" t="s">
        <v>12</v>
      </c>
      <c r="D300" s="1" t="s">
        <v>17</v>
      </c>
      <c r="E300" s="5">
        <v>45225</v>
      </c>
      <c r="F300">
        <v>9</v>
      </c>
      <c r="G300">
        <v>3</v>
      </c>
      <c r="H300">
        <v>5</v>
      </c>
      <c r="I300">
        <v>122</v>
      </c>
      <c r="J300">
        <v>104</v>
      </c>
      <c r="K300">
        <v>3</v>
      </c>
      <c r="L300">
        <v>0</v>
      </c>
      <c r="M300" s="1" t="s">
        <v>25</v>
      </c>
      <c r="N300">
        <v>8</v>
      </c>
      <c r="O300">
        <v>0</v>
      </c>
      <c r="P300">
        <v>0</v>
      </c>
      <c r="Q300" s="1" t="s">
        <v>26</v>
      </c>
    </row>
    <row r="301" spans="1:17" x14ac:dyDescent="0.3">
      <c r="A301">
        <v>1300</v>
      </c>
      <c r="B301">
        <v>26</v>
      </c>
      <c r="C301" s="1" t="s">
        <v>14</v>
      </c>
      <c r="D301" s="1" t="s">
        <v>16</v>
      </c>
      <c r="E301" s="5">
        <v>45226</v>
      </c>
      <c r="F301">
        <v>3</v>
      </c>
      <c r="G301">
        <v>0</v>
      </c>
      <c r="H301">
        <v>3</v>
      </c>
      <c r="I301">
        <v>117</v>
      </c>
      <c r="J301">
        <v>175</v>
      </c>
      <c r="K301">
        <v>10</v>
      </c>
      <c r="L301">
        <v>1</v>
      </c>
      <c r="M301" s="1" t="s">
        <v>30</v>
      </c>
      <c r="N301">
        <v>3</v>
      </c>
      <c r="O301">
        <v>1</v>
      </c>
      <c r="P301">
        <v>0</v>
      </c>
      <c r="Q301" s="1" t="s">
        <v>31</v>
      </c>
    </row>
  </sheetData>
  <sheetProtection algorithmName="SHA-512" hashValue="CvVb7xsb+u0bZy0/Q6xCwk9N0AH9HaxwncId/h1hqO2ou85A97kAAgR52FACjR/TV/mbV4WcnXe8F/QIqsderg==" saltValue="7kh0bnmA+9PXJ0t2ae1eCA=="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CF964-3831-48FF-BB4A-E27BD4A7073E}">
  <sheetPr>
    <tabColor theme="5" tint="0.79998168889431442"/>
  </sheetPr>
  <dimension ref="A1"/>
  <sheetViews>
    <sheetView showGridLines="0" tabSelected="1" topLeftCell="A9" zoomScale="71" zoomScaleNormal="84" workbookViewId="0">
      <selection activeCell="Z32" sqref="Z32"/>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4264B-4894-46CC-B550-52BE912F2292}">
  <sheetPr>
    <tabColor theme="5" tint="0.79998168889431442"/>
  </sheetPr>
  <dimension ref="A1:M18"/>
  <sheetViews>
    <sheetView workbookViewId="0">
      <selection activeCell="H17" sqref="H17"/>
    </sheetView>
  </sheetViews>
  <sheetFormatPr defaultRowHeight="14.4" x14ac:dyDescent="0.3"/>
  <cols>
    <col min="1" max="1" width="15.21875" bestFit="1" customWidth="1"/>
    <col min="2" max="2" width="16.6640625" bestFit="1" customWidth="1"/>
    <col min="3" max="3" width="21.77734375" bestFit="1" customWidth="1"/>
    <col min="4" max="4" width="16.6640625" bestFit="1" customWidth="1"/>
    <col min="5" max="5" width="15.5546875" bestFit="1" customWidth="1"/>
    <col min="6" max="6" width="3.88671875" bestFit="1" customWidth="1"/>
    <col min="7" max="7" width="10.5546875" bestFit="1" customWidth="1"/>
    <col min="8" max="8" width="16.6640625" bestFit="1" customWidth="1"/>
    <col min="9" max="9" width="11" bestFit="1" customWidth="1"/>
    <col min="10" max="10" width="16.6640625" bestFit="1" customWidth="1"/>
    <col min="11" max="11" width="17.44140625" bestFit="1" customWidth="1"/>
    <col min="12" max="12" width="10.5546875" bestFit="1" customWidth="1"/>
    <col min="13" max="13" width="16.6640625" bestFit="1" customWidth="1"/>
  </cols>
  <sheetData>
    <row r="1" spans="1:13" x14ac:dyDescent="0.3">
      <c r="A1" s="3" t="s">
        <v>36</v>
      </c>
      <c r="B1" t="s">
        <v>35</v>
      </c>
      <c r="D1" s="3" t="s">
        <v>35</v>
      </c>
      <c r="E1" s="3" t="s">
        <v>34</v>
      </c>
      <c r="I1" s="3" t="s">
        <v>37</v>
      </c>
      <c r="J1" t="s">
        <v>35</v>
      </c>
      <c r="L1" s="3" t="s">
        <v>38</v>
      </c>
      <c r="M1" t="s">
        <v>35</v>
      </c>
    </row>
    <row r="2" spans="1:13" x14ac:dyDescent="0.3">
      <c r="A2" s="4" t="s">
        <v>18</v>
      </c>
      <c r="B2" s="1">
        <v>63</v>
      </c>
      <c r="D2" s="3" t="s">
        <v>36</v>
      </c>
      <c r="E2" t="s">
        <v>24</v>
      </c>
      <c r="F2" t="s">
        <v>28</v>
      </c>
      <c r="G2" t="s">
        <v>33</v>
      </c>
      <c r="I2" s="4" t="s">
        <v>27</v>
      </c>
      <c r="J2" s="1">
        <v>61</v>
      </c>
      <c r="L2" s="4" t="s">
        <v>14</v>
      </c>
      <c r="M2" s="1">
        <v>153</v>
      </c>
    </row>
    <row r="3" spans="1:13" x14ac:dyDescent="0.3">
      <c r="A3" s="4" t="s">
        <v>13</v>
      </c>
      <c r="B3" s="1">
        <v>63</v>
      </c>
      <c r="D3" s="4" t="s">
        <v>18</v>
      </c>
      <c r="E3" s="1">
        <v>44</v>
      </c>
      <c r="F3" s="1">
        <v>19</v>
      </c>
      <c r="G3" s="1">
        <v>63</v>
      </c>
      <c r="I3" s="4" t="s">
        <v>32</v>
      </c>
      <c r="J3" s="1">
        <v>64</v>
      </c>
      <c r="L3" s="4" t="s">
        <v>12</v>
      </c>
      <c r="M3" s="1">
        <v>147</v>
      </c>
    </row>
    <row r="4" spans="1:13" x14ac:dyDescent="0.3">
      <c r="A4" s="4" t="s">
        <v>17</v>
      </c>
      <c r="B4" s="1">
        <v>52</v>
      </c>
      <c r="D4" s="4" t="s">
        <v>13</v>
      </c>
      <c r="E4" s="1">
        <v>42</v>
      </c>
      <c r="F4" s="1">
        <v>21</v>
      </c>
      <c r="G4" s="1">
        <v>63</v>
      </c>
      <c r="I4" s="4" t="s">
        <v>25</v>
      </c>
      <c r="J4" s="1">
        <v>126</v>
      </c>
      <c r="L4" s="4" t="s">
        <v>33</v>
      </c>
      <c r="M4" s="1">
        <v>300</v>
      </c>
    </row>
    <row r="5" spans="1:13" x14ac:dyDescent="0.3">
      <c r="A5" s="4" t="s">
        <v>15</v>
      </c>
      <c r="B5" s="1">
        <v>67</v>
      </c>
      <c r="D5" s="4" t="s">
        <v>17</v>
      </c>
      <c r="E5" s="1">
        <v>34</v>
      </c>
      <c r="F5" s="1">
        <v>18</v>
      </c>
      <c r="G5" s="1">
        <v>52</v>
      </c>
      <c r="I5" s="4" t="s">
        <v>30</v>
      </c>
      <c r="J5" s="1">
        <v>49</v>
      </c>
    </row>
    <row r="6" spans="1:13" x14ac:dyDescent="0.3">
      <c r="A6" s="4" t="s">
        <v>16</v>
      </c>
      <c r="B6" s="1">
        <v>55</v>
      </c>
      <c r="D6" s="4" t="s">
        <v>15</v>
      </c>
      <c r="E6" s="1">
        <v>45</v>
      </c>
      <c r="F6" s="1">
        <v>22</v>
      </c>
      <c r="G6" s="1">
        <v>67</v>
      </c>
      <c r="I6" s="4" t="s">
        <v>33</v>
      </c>
      <c r="J6" s="1">
        <v>300</v>
      </c>
    </row>
    <row r="7" spans="1:13" x14ac:dyDescent="0.3">
      <c r="A7" s="4" t="s">
        <v>33</v>
      </c>
      <c r="B7" s="1">
        <v>300</v>
      </c>
      <c r="D7" s="4" t="s">
        <v>16</v>
      </c>
      <c r="E7" s="1">
        <v>36</v>
      </c>
      <c r="F7" s="1">
        <v>19</v>
      </c>
      <c r="G7" s="1">
        <v>55</v>
      </c>
    </row>
    <row r="8" spans="1:13" x14ac:dyDescent="0.3">
      <c r="D8" s="4" t="s">
        <v>33</v>
      </c>
      <c r="E8" s="1">
        <v>201</v>
      </c>
      <c r="F8" s="1">
        <v>99</v>
      </c>
      <c r="G8" s="1">
        <v>300</v>
      </c>
    </row>
    <row r="11" spans="1:13" x14ac:dyDescent="0.3">
      <c r="G11" t="s">
        <v>40</v>
      </c>
      <c r="H11" t="s">
        <v>35</v>
      </c>
      <c r="I11" t="s">
        <v>42</v>
      </c>
      <c r="J11" t="s">
        <v>39</v>
      </c>
      <c r="K11" t="s">
        <v>43</v>
      </c>
      <c r="L11" t="s">
        <v>41</v>
      </c>
    </row>
    <row r="12" spans="1:13" x14ac:dyDescent="0.3">
      <c r="G12" s="1">
        <v>99</v>
      </c>
      <c r="H12" s="1">
        <v>300</v>
      </c>
      <c r="I12" s="6">
        <v>4.4133333333333331</v>
      </c>
      <c r="J12" s="1">
        <v>300</v>
      </c>
      <c r="K12" s="1">
        <v>124</v>
      </c>
      <c r="L12" s="6">
        <v>7.4333333333333336</v>
      </c>
    </row>
    <row r="15" spans="1:13" x14ac:dyDescent="0.3">
      <c r="H15" s="8" t="s">
        <v>44</v>
      </c>
      <c r="I15" s="7" t="s">
        <v>45</v>
      </c>
    </row>
    <row r="16" spans="1:13" x14ac:dyDescent="0.3">
      <c r="H16" s="9">
        <f>K12/H12*100</f>
        <v>41.333333333333336</v>
      </c>
      <c r="I16" s="2">
        <f>G12/H12*100</f>
        <v>33</v>
      </c>
    </row>
    <row r="18" spans="7:7" x14ac:dyDescent="0.3">
      <c r="G1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56EED6-DF64-4A22-A4AE-24FCBBAF42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Healthcare_dashboard</vt:lpstr>
      <vt:lpstr>Dashboards</vt:lpstr>
      <vt:lpstr>Pivot_Tables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Anam Sheikh</dc:creator>
  <cp:lastModifiedBy>Anam Sheikh</cp:lastModifiedBy>
  <dcterms:created xsi:type="dcterms:W3CDTF">2025-11-17T18:30:33Z</dcterms:created>
  <dcterms:modified xsi:type="dcterms:W3CDTF">2025-11-17T22:10:13Z</dcterms:modified>
</cp:coreProperties>
</file>